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EQUERIMIENTOS GERENCIA\D PROVEEDORES FE\"/>
    </mc:Choice>
  </mc:AlternateContent>
  <bookViews>
    <workbookView xWindow="0" yWindow="0" windowWidth="28800" windowHeight="10845" firstSheet="4" activeTab="8"/>
  </bookViews>
  <sheets>
    <sheet name="FORMATO 1003" sheetId="1" r:id="rId1"/>
    <sheet name="FORMATO 1003 DIAN " sheetId="2" r:id="rId2"/>
    <sheet name="F 1005 IVA DESCONTABLE " sheetId="3" r:id="rId3"/>
    <sheet name="FORMATO 1006 IVA GENERADO" sheetId="4" r:id="rId4"/>
    <sheet name="FORMATO 1007 " sheetId="5" r:id="rId5"/>
    <sheet name="FORMATO 1008 " sheetId="7" r:id="rId6"/>
    <sheet name="FORMATO 1009 DIAN" sheetId="9" r:id="rId7"/>
    <sheet name="FORMATO 1012" sheetId="10" r:id="rId8"/>
    <sheet name="FORMATO 1011" sheetId="11" r:id="rId9"/>
    <sheet name="Hoja2" sheetId="8" r:id="rId10"/>
    <sheet name="1008 hoja trabajo " sheetId="6" r:id="rId11"/>
  </sheets>
  <definedNames>
    <definedName name="_xlnm._FilterDatabase" localSheetId="10" hidden="1">'1008 hoja trabajo '!$A$1:$J$34</definedName>
    <definedName name="_xlnm._FilterDatabase" localSheetId="2" hidden="1">'F 1005 IVA DESCONTABLE '!$A$1:$J$31</definedName>
    <definedName name="_xlnm._FilterDatabase" localSheetId="4" hidden="1">'FORMATO 1007 '!$A$1:$K$23</definedName>
    <definedName name="_xlnm._FilterDatabase" localSheetId="5" hidden="1">'FORMATO 1008 '!$A$1:$N$29</definedName>
    <definedName name="_xlnm._FilterDatabase" localSheetId="6" hidden="1">'FORMATO 1009 DIAN'!$A$1:$N$122</definedName>
  </definedNames>
  <calcPr calcId="162913"/>
  <pivotCaches>
    <pivotCache cacheId="0" r:id="rId12"/>
  </pivotCaches>
</workbook>
</file>

<file path=xl/calcChain.xml><?xml version="1.0" encoding="utf-8"?>
<calcChain xmlns="http://schemas.openxmlformats.org/spreadsheetml/2006/main">
  <c r="N32" i="7" l="1"/>
</calcChain>
</file>

<file path=xl/sharedStrings.xml><?xml version="1.0" encoding="utf-8"?>
<sst xmlns="http://schemas.openxmlformats.org/spreadsheetml/2006/main" count="1495" uniqueCount="768">
  <si>
    <t>Desc. auxiliar</t>
  </si>
  <si>
    <t>Nit movto.</t>
  </si>
  <si>
    <t>Nit tercero</t>
  </si>
  <si>
    <t>Razón social tercero movto.</t>
  </si>
  <si>
    <t>Dirección tercero</t>
  </si>
  <si>
    <t>Débitos</t>
  </si>
  <si>
    <t>Créditos</t>
  </si>
  <si>
    <t>Neto</t>
  </si>
  <si>
    <t>Notas</t>
  </si>
  <si>
    <t>Depto tercero docto</t>
  </si>
  <si>
    <t>Depto tercero movto</t>
  </si>
  <si>
    <t>Ciudad sucursal</t>
  </si>
  <si>
    <t>Ciudad tercero docto</t>
  </si>
  <si>
    <t>Imp. Retencion en Fuente Honorarios 10%</t>
  </si>
  <si>
    <t>AGUIRRE SANTACRUZ ALEXANDRA</t>
  </si>
  <si>
    <t>MZ D C 9</t>
  </si>
  <si>
    <t>CTA DE COBRO 001-2024 SERVICIOS PROFESIONALES DE DISEÑO GRAFICO</t>
  </si>
  <si>
    <t>Imp. Retencion en Fuente Honorarios 11%</t>
  </si>
  <si>
    <t>COOPERATIVA DE GESTION FARMACEUTICA INTEGRAL EN REORGANIZACION</t>
  </si>
  <si>
    <t>Cr 8  1 36 EDIFICIO PORTAL DEL MO</t>
  </si>
  <si>
    <t>IMPUESTO DE RENTA 2023</t>
  </si>
  <si>
    <t>COOPERATIVA DE SERVICIOS INTEGRALES DE SALUD RED MEDICRON IPS</t>
  </si>
  <si>
    <t>KR 26 N° 9 - 22 BARR OBRERO</t>
  </si>
  <si>
    <t xml:space="preserve">FEM 141 SS DE TECNOLOGIA E INFORMACION SERVICIOS PROFESIONALES Y USO DE PLATAFORMAS S/N CTO 055-2023 MES DE ENE 2024 </t>
  </si>
  <si>
    <t xml:space="preserve">FEM 146 SS DE TECNOLOGIA E INFORMACION SERVICIOS PROFESIONALES Y USO DE PLATAFORMAS S/N CTO 055-2023 MES DE FEB 2024 </t>
  </si>
  <si>
    <t>SS DE TECNOLOGIA E INFORACION SERVICIOS PROFESIONALES Y USO DE PLATAFORMAS S/N CTO 055-2023 MES DE DIC 2023</t>
  </si>
  <si>
    <t>SS DE TECNOLOGIA E INFORACION SERVICIOS PROFESIONALES Y USO DE PLATAFORMAS S/N CTO 055-2023 MES DE NOV 2023</t>
  </si>
  <si>
    <t>EMSSANAR ENTIDAD PROMOTORA DE SALUD S.A.S.</t>
  </si>
  <si>
    <t>CLL 11 A 33 ESQ</t>
  </si>
  <si>
    <t>CAUSACION IMPUESTOS SOBRE FACTURAS DE VENTA FEM 167 ALMACENAMIENTO Y ADMINISTRACION DE ARCHIVO MES DE JULIO 2024</t>
  </si>
  <si>
    <t>CAUSACION IMPUESTOS SOBRE FACTURAS DE VENTA FEM 170 CUSTODIA Y ADMINISTRACION DE ARCHIVO</t>
  </si>
  <si>
    <t>CAUSACION IMPUESTOS SOBRE FACTURAS DE VENTA FEM 171 CUSTODIA Y ADMINISTRACION DE ARCHIVO</t>
  </si>
  <si>
    <t>CAUSACION IMPUESTOS SOBRE FACTURAS DE VENTA FEM 174 CUSTODIA Y ADMINISTRACION DE ARCHIVO</t>
  </si>
  <si>
    <t>FEM 179 SERV ALMACENAMIENTO CUSTODIA Y ADMON ARCHIVO DOCUMENTAL OCTUBRE 2024 CONTRATO AD-EMSASEPS-0532024</t>
  </si>
  <si>
    <t>FEM 183 SERV ALMACENAMIENTO CUSTODIA Y ADMON ARCHIVO DOCUMENTAL NOVIEMBRE 2024 CONTRATO AD-EMSASEPS-053-2024</t>
  </si>
  <si>
    <t>FEM 184 SERV ALMACENAMIENTO CUSTODIA Y ADMON ARCHIVO DOCUMENTAL DICIEMBRE 2024 CONTRATO AD-EMSASEPS-053-2024</t>
  </si>
  <si>
    <t>INGRESO  POR RECONOCIMIENTO DE SERVICIOS FEM 115</t>
  </si>
  <si>
    <t>REGISTRO IMPUESTO FEM 172 TRANSPORTE Y TRASTEO DE ARCHIVO</t>
  </si>
  <si>
    <t>Imp. Retencion en Fuente Servicios 4%</t>
  </si>
  <si>
    <t>DIRECCION DE IMPUESTOS Y ADUANAS NACIONALES DIAN</t>
  </si>
  <si>
    <t xml:space="preserve">FEM 142  CUOTA 3/8 SERVICIOS EN LA NUBE MES DE ENERO 2024 SEGUN CONTRATO EMSN -MUTUAL 12-23. </t>
  </si>
  <si>
    <t xml:space="preserve">FEM 143 ACUERDO DE PAGO SERVICIOS EN LA NUBE CALL CENTER DICIEMBRE CUOTA 8/14 </t>
  </si>
  <si>
    <t xml:space="preserve">FEM 144 ACUERDO DE PAGO SERVICIOS EN LA NUBE CALL CENTER ENERO 2024 CUOTA 9/14  EMSSN MUTUAL 06-23  </t>
  </si>
  <si>
    <t>FEM 145 ACUERDOS DDE PAGO SERVICIO EN LA NUBE CALL CENTER FEBRERO 2024 CUOTA 10/12 EMSSN - MUTUAL 06-23</t>
  </si>
  <si>
    <t xml:space="preserve">FEM 147  CUOTA 4/8 SERVICIOS EN LA NUBE MES DE FEBERO 2024 SEGUN CONTRATO EMSN -MUTUAL 12-23. </t>
  </si>
  <si>
    <t>FEM 151 CUOTA 5/8 SERVICIOS EN LA NUBE MES DE MARZO 2024 SEGUN CONTRATO EMSN -MUTUAL 12-23.</t>
  </si>
  <si>
    <t>FEM 152 ACUERDO DE PAGO SERVICIOS EN LA NUBE CALL CENTER MARZO 2024 CUOTA 11/14 EMSSN MUTUAL 06-23</t>
  </si>
  <si>
    <t>FEM 156 CUOTA 6/8 SERVICIOS EN LA NUBE MES DE ABRIL 2024 SEGUN CONTRATO EMSN -MUTUAL 12-23.</t>
  </si>
  <si>
    <t>FEM 157 ACUERDO DE PAGO SERVICIOS EN LA NUBE CALL CENTER ABRIL/ 2024 CUOTA 12/14 EMSSN MUTUAL 06-23</t>
  </si>
  <si>
    <t>FEM 160 CUOTA 7/8 SERVICIOS EN LA NUBE MES DE MAYO 2024 SEGUN CONTRATO EMSN -MUTUAL 12-23.</t>
  </si>
  <si>
    <t>FEM 161 ACUERDO DE PAGO SERVICIOS EN LA NUBE CALL CENTER MAYO 2024 CUOTA 13/14 EMSSN MUTUAL 06-23</t>
  </si>
  <si>
    <t>FEM 163 CUOTA 8/8 SERVICIOS EN LA NUBE MES DE JUNIO 2024 SEGUN CONTRATO EMSN -MUTUAL 12-23.</t>
  </si>
  <si>
    <t>FEM 164 ACUERDO DE PAGO SERVICIOS EN LA NUBE CALL CENTER JUNIO 2024 CUOTA 14/14 EMSSN MUTUAL 06-23</t>
  </si>
  <si>
    <t>INSTITUTO RADIOLOGICO DEL SUR IPIALES SAS</t>
  </si>
  <si>
    <t>CAUSACION IMPUESTOS SOBRE FACTURAS DE VENTA FEM 168 LINEA COVID Y RECLACIFICACION AUXILIAR</t>
  </si>
  <si>
    <t>CAUSACION IMPUESTOS SOBRE FACTURAS DE VENTA FEM 176 LINEA COVID CUOTA 2 Y RECLACIFICACION AUXILIAR</t>
  </si>
  <si>
    <t>FEM 180 SERVICIO CALL CENTER LINEA COVID 19, CUOTA 3/3 SEGUN CONTRATO DE TRANSACCION EMSSN - MUTUAL 01-22</t>
  </si>
  <si>
    <t>Imp. Rte Fte Arrend. Bien Inmueble  3.5%</t>
  </si>
  <si>
    <t>AJUSTE RETE ICA Y RETE FTE FEM 177 POR NO RECONOCIMIENTO DEL CLIENTE</t>
  </si>
  <si>
    <t>FEM 175 CONTRATO DE ARRENDAMIENTO EDIFICACION No. AD-EMSASEPS-063-2024 OCTUBRE 2024</t>
  </si>
  <si>
    <t>FEM 177 CONTRATO DE ARRENDAMIENTO EDIFICACION No. AD-EMSASEPS-063-2024 NOVIEMBRE 2024</t>
  </si>
  <si>
    <t>FEM 182 CONTRATO DE ARRENDAMIENTO EDIFICACION No. AD-EMSASEPS-063-2024 DICIEMBRE 2024</t>
  </si>
  <si>
    <t>Imp. Rte Fte Arrend. Bien Mueble 4%</t>
  </si>
  <si>
    <t>FEM 150 ARRENDAMIENTO DE EQUIPOS MUEBLES MES DE MARZO 2024 SEGUN CONTRATO AMA-MUTUAL 13-23</t>
  </si>
  <si>
    <t>FEM 154 ARRENDAMIENTO DE EQUIPOS MUEBLES MES DE ABRIL 2024 SEGUN CONTRATO AMA-MUTUAL 13-23</t>
  </si>
  <si>
    <t>FEM 158 ARRENDAMIENTO DE EQUIPOS MUEBLES MES DE MAYO 2024 MAS SALDO INCREMENTO ABRIL SEGUN OTRO SI 1 CONTRATO AMA-MUTUAL 13-23</t>
  </si>
  <si>
    <t>FEM 165 ARRENDAMIENTO DE BIENES MUEBLES MES DE JUNIO, JULIO Y AGOSTO 2024 SEGUN CONTRATO AMA-MUTUAL 13-23</t>
  </si>
  <si>
    <t>FEM 166 ARRENDAMIENTO DE BIENES MUEBLES MES DE JUNIO, JULIO Y AGOSTO 2024 SEGUN CONTRATO AMA-MUTUAL 13-23</t>
  </si>
  <si>
    <t>FEM 169 ARRENDAMIENTO DE BIENES MUEBLES MES DE SEPTIEMBRE 2024 SEGUN CONTRATO AMA-MUTUAL 13-23</t>
  </si>
  <si>
    <t>FEM 173 ARRENDAMIENTO DE BIENES MUEBLES MES DE OCTUBRE 2024 SEGUN CONTRATO AMA-MUTUAL 13-23</t>
  </si>
  <si>
    <t>FEM 178 ARRENDAMIENTO DE BIENES MUEBLES MES DE NOVIEMBRE 2024 SEGUN CONTRATO AMA-MUTUAL 13-23</t>
  </si>
  <si>
    <t>FEM 181 ARRENDAMIENTO DE BIENES MUEBLES MES DE DICIEMBRE 2024 SEGUN CONTRATO AMA-MUTUAL 13-23</t>
  </si>
  <si>
    <t>FEVA 29 ARRENDAMIENTO DE EQUIPOS MUEBLES MES DE OCTUBRE 2023 A FEBRERO 2024 SEGUN CONTRATO AMA-MUTUAL 13-23</t>
  </si>
  <si>
    <t>NOTA CREDITO NSE 32 ERROR VALOR FACTURA FEM 165 ARRENDAMIENTO INSTALACIONES</t>
  </si>
  <si>
    <t>Imp. Rte Fte Arrendamiento Softwa 3.5%</t>
  </si>
  <si>
    <t>AJUSTE POR MAYOR VR PRACTICADO EN RETENCION EN LA FUENTE A LA FRA FEM186 POR RED MEDICRON</t>
  </si>
  <si>
    <t xml:space="preserve">FEM 186 SS DE TECNOLOGIA Y USO DE PLATAFORMAS MAR A DIC 2024 </t>
  </si>
  <si>
    <t>FEM 140 ARRENDAMIENTO DE LICENCIAS DE USO DE SOFTWARE No. EMSSN-MUTUAL-08-22 MES DE ENERO 2024, 245 FACTURAS ELECTRONICAS ADMINISTRATIVA DEL 13-31 DIC/23 Y 447 DEL 1-30 ENE/24</t>
  </si>
  <si>
    <t>FEM 149 ARRENDAMIENTO DE LICENCIA DE USO DE SOFTWARE N° EMSSN-MUTUAL 08-22 MES DE FEBRERO/ 2024, 685 FACTURAS ELECTRONICAS ADTIVA</t>
  </si>
  <si>
    <t xml:space="preserve">FEM 153 ARRENDAMIENTO DE LICENCIA DE USO DE SOFTWARE N° EMSSN-MUTUAL 08-22 MES DE MARZO/ 2024, 514 FACTURAS ELECTRONICAS ADTIVA </t>
  </si>
  <si>
    <t xml:space="preserve">FEM 155 ARRENDAMIENTO DE LICENCIA DE USO DE SOFTWARE N° EMSSN-MUTUAL 08-22, 365 FACTURAS ELECTRONICAS ADTIVA 1 - 20 ABRIL 2024 </t>
  </si>
  <si>
    <t xml:space="preserve">FEM 159 ARRENDAMIENTO DE LICENCIA DE USO DE SOFTWARE N° EMSSN-MUTUAL 08-22 MES DE MAYO/2024,  444 FACTURAS ELECTRONICAS ADTIVA 21/04/2024 - 15/05/2024 </t>
  </si>
  <si>
    <t xml:space="preserve">FEM 162 ARRENDAMIENTO DE LICENCIA DE USO DE SOFTWARE N° EMSSN-MUTUAL 08-22 MES DE MAYO/2024,  414 FACTURAS ELECTRONICAS ADTIVA 16/05/2024 - 15/06/2024 </t>
  </si>
  <si>
    <t xml:space="preserve">FEM 185 ARRENDAMIENTO DE LICENCIA DE USO DE SOFTWARE N° EMSSN-MUTUAL 08-22 JUN A DIC 2024 Y 3026 FACTURAS ELECTRONICAS ADTIVA 16/05/2024 - 15/15/2024 </t>
  </si>
  <si>
    <t>NOTA CREDITO NSE 31 ANULACION FEM 162</t>
  </si>
  <si>
    <t>Concepto</t>
  </si>
  <si>
    <t>TDocto.tercero</t>
  </si>
  <si>
    <t xml:space="preserve">NIT </t>
  </si>
  <si>
    <t>DV</t>
  </si>
  <si>
    <t>1 AP</t>
  </si>
  <si>
    <t>2 AP</t>
  </si>
  <si>
    <t>1 NM</t>
  </si>
  <si>
    <t>2 NM</t>
  </si>
  <si>
    <t xml:space="preserve">RAZON SOCIAL </t>
  </si>
  <si>
    <t>Departamento</t>
  </si>
  <si>
    <t>Municipio tercero</t>
  </si>
  <si>
    <t>Valor acumulado del pago o abono sujeto a Retenci</t>
  </si>
  <si>
    <t>Retención en la fuente que le practicaron</t>
  </si>
  <si>
    <t>EMSSANAR EPS SAS</t>
  </si>
  <si>
    <t>CL 11 CON 33 ESQUINA LA AURORA</t>
  </si>
  <si>
    <t>001</t>
  </si>
  <si>
    <t>CR 26 9 22 BRR OBRERO</t>
  </si>
  <si>
    <t xml:space="preserve">COOPERATIVA RED MEDICRON IPS </t>
  </si>
  <si>
    <t>TIPO DOCTO</t>
  </si>
  <si>
    <t>NIT</t>
  </si>
  <si>
    <t>1 APELLIDO</t>
  </si>
  <si>
    <t>2 APELLIDO</t>
  </si>
  <si>
    <t>1 NOMBRE</t>
  </si>
  <si>
    <t>2 NOMBRE</t>
  </si>
  <si>
    <t>RAZON SOCIAL</t>
  </si>
  <si>
    <t>IMP DESCONTABLE</t>
  </si>
  <si>
    <t>DEVOLUCIONES</t>
  </si>
  <si>
    <t>ZUÑIGA BRAVO JANIO HERNAN</t>
  </si>
  <si>
    <t>SERVAGRO LTDA</t>
  </si>
  <si>
    <t>SUPERMERCADOS TIGRE DE LA REBAJA SAS</t>
  </si>
  <si>
    <t>COMERCIALIZADORA LUHOMAR SAS</t>
  </si>
  <si>
    <t>FUNDACION MAS INNOVACION, MAS SOCIAL</t>
  </si>
  <si>
    <t>IFX NETWORKS COLOMBIA SAS</t>
  </si>
  <si>
    <t>SEGUROS DEL ESTADO S A</t>
  </si>
  <si>
    <t>BANCO DAVIVIENDA S.A</t>
  </si>
  <si>
    <t>SERVIENTREGA S.A.</t>
  </si>
  <si>
    <t>SISTEMAS DE INFORMACION EMPRESARIAL SA</t>
  </si>
  <si>
    <t>BANCOLOMBIA S.A.</t>
  </si>
  <si>
    <t>CUERPO DE BOMBEROS VOLUNTARIOS DE PASTO</t>
  </si>
  <si>
    <t>COMPAÑIA DE SERVICIO LOGISTICO COLOMBIA SAS</t>
  </si>
  <si>
    <t>COOPERATIVA MULTIACTIVA DE EMPLEADOS DE EMSSANAR</t>
  </si>
  <si>
    <t>SP SISTEMAS PALACIOS LTDA</t>
  </si>
  <si>
    <t>ANDES SERVICIO DE CERTIFCACION DIGITAL</t>
  </si>
  <si>
    <t>D1 SAS</t>
  </si>
  <si>
    <t>AVAMEDICAL SAS</t>
  </si>
  <si>
    <t>PRECISION BIOMEDICA SAS</t>
  </si>
  <si>
    <t>DABO EMPRESARIAL SAS</t>
  </si>
  <si>
    <t>SGI SISTEMAS DE GESTION INTEGRAL SAS</t>
  </si>
  <si>
    <t>URRESTA GUEVARA BASANTE  TORO GRUPO JURIDICO SAS</t>
  </si>
  <si>
    <t>TODO EN UNO SHOP SAS</t>
  </si>
  <si>
    <t>PAPELERIA COPOTE</t>
  </si>
  <si>
    <t xml:space="preserve">BRAVO </t>
  </si>
  <si>
    <t xml:space="preserve">JANIO </t>
  </si>
  <si>
    <t>HERNAN</t>
  </si>
  <si>
    <t xml:space="preserve">JOJOA </t>
  </si>
  <si>
    <t xml:space="preserve">BURBANO </t>
  </si>
  <si>
    <t xml:space="preserve">DIANA </t>
  </si>
  <si>
    <t>MILENA</t>
  </si>
  <si>
    <t xml:space="preserve">CARLOS </t>
  </si>
  <si>
    <t xml:space="preserve">ARTEMIO </t>
  </si>
  <si>
    <t xml:space="preserve">GUERRA </t>
  </si>
  <si>
    <t>SANCHEZ</t>
  </si>
  <si>
    <t xml:space="preserve">ESCOBAR </t>
  </si>
  <si>
    <t xml:space="preserve">RESTREPO </t>
  </si>
  <si>
    <t>JAIME</t>
  </si>
  <si>
    <t xml:space="preserve">GOMEZ </t>
  </si>
  <si>
    <t>DE ESCOBAR</t>
  </si>
  <si>
    <t xml:space="preserve"> MARY </t>
  </si>
  <si>
    <t>LUCIA</t>
  </si>
  <si>
    <t xml:space="preserve">RAMIRO </t>
  </si>
  <si>
    <t>SALOMON</t>
  </si>
  <si>
    <t>RAMOS</t>
  </si>
  <si>
    <t xml:space="preserve">ALEAN </t>
  </si>
  <si>
    <t>IVA GENERADO</t>
  </si>
  <si>
    <t>Id.tercero</t>
  </si>
  <si>
    <t>Primer apellido</t>
  </si>
  <si>
    <t>Segundo apellido</t>
  </si>
  <si>
    <t>Primer nombre</t>
  </si>
  <si>
    <t>Segundo nombre</t>
  </si>
  <si>
    <t>Nombre tercero</t>
  </si>
  <si>
    <t>Pais</t>
  </si>
  <si>
    <t>Ingresos brutos recibidos</t>
  </si>
  <si>
    <t>Devoluciones, rebajas y descuentos</t>
  </si>
  <si>
    <t>COOPERATIVA DE SERVICIOS INTEGRALES DE SALUD RED M</t>
  </si>
  <si>
    <t>EMSSANAR ENTIDAD PROMOTORA DE SALUD S.A.S</t>
  </si>
  <si>
    <t>COLMENA RIESGOS PROFESIONALES</t>
  </si>
  <si>
    <t>COOPERATIVA DE SERVICIOS INTEGRALES DE SALUD RED</t>
  </si>
  <si>
    <t>EPS SANITAS S.A.S</t>
  </si>
  <si>
    <t>ESE HOSPITAL UNIVERSITARIO DE SANTANDER</t>
  </si>
  <si>
    <t>INSTITUTO CANCEROLOGICO DE NARIÑO LIMITADA</t>
  </si>
  <si>
    <t>SUBREDINTEGRADA DE SERVICIOS DE SALUD NORTE ESE</t>
  </si>
  <si>
    <t>ASOCIACION MUTUAL DE SERVICIOS SOLIDARIOS MUTUAL</t>
  </si>
  <si>
    <t>CAMARA DE COMERCIO DE PASTO</t>
  </si>
  <si>
    <t>FIC FIDUCUENTA FIDUCIARIA BANCOLOMBIA</t>
  </si>
  <si>
    <t>IP TECHNOLOGIES SASCH</t>
  </si>
  <si>
    <t>MUNICIPIO DE PASTO</t>
  </si>
  <si>
    <t>VALORES BANCOLOMBIA SA</t>
  </si>
  <si>
    <t>Auxiliar</t>
  </si>
  <si>
    <t>Cliente</t>
  </si>
  <si>
    <t>Sucursal</t>
  </si>
  <si>
    <t>Razón social sucursal</t>
  </si>
  <si>
    <t>Barrio</t>
  </si>
  <si>
    <t>Dirección 1</t>
  </si>
  <si>
    <t>Cod. Pais</t>
  </si>
  <si>
    <t>Cod. Depto.</t>
  </si>
  <si>
    <t>Cod. Ciudad</t>
  </si>
  <si>
    <t>Total COP</t>
  </si>
  <si>
    <t>INSTITUTO CANCEROLOGICO DE NARIÑO LIMITA</t>
  </si>
  <si>
    <t>AV PANAMERICANA CR 40 A 19 B 55</t>
  </si>
  <si>
    <t>SAN IGNACIO</t>
  </si>
  <si>
    <t>CR 32 12 19</t>
  </si>
  <si>
    <t>COOPERATIVA MULTIACTIVA DE EMPLEADOS DE</t>
  </si>
  <si>
    <t>MUNICIPAL</t>
  </si>
  <si>
    <t>CL 11D 31 10</t>
  </si>
  <si>
    <t>COOPERATIVA EMSSANAR SERVICIO FARMACEUTI</t>
  </si>
  <si>
    <t>LA AURORA</t>
  </si>
  <si>
    <t>COOPERATIVA DE SERVICIOS INTEGRALES DE S</t>
  </si>
  <si>
    <t>CR 29 12 A 15 BRR SAN IGNACIO</t>
  </si>
  <si>
    <t>EMSSANAR SOCIEDAD POR ACCIONES SIMPLIFIC</t>
  </si>
  <si>
    <t>SITI SOLUCIONES SAS</t>
  </si>
  <si>
    <t>CENTRO</t>
  </si>
  <si>
    <t>C L 18 28 16 CEN OF 202</t>
  </si>
  <si>
    <t>DIEGO ARMANDO SOLARTE CHAVEZ</t>
  </si>
  <si>
    <t>ALAMEDA I</t>
  </si>
  <si>
    <t>CR 19 25 45 BRR ALAMEDA</t>
  </si>
  <si>
    <t>ORTEGA PALACIOS ADRIANA CAROLINA</t>
  </si>
  <si>
    <t>COND. ACHALAY MZ F CA 4</t>
  </si>
  <si>
    <t>CEDEÑO GUTIERREZ DIEGO FERNANDO</t>
  </si>
  <si>
    <t>EL REFUGIO</t>
  </si>
  <si>
    <t>CL 2. 6689 APTO 401</t>
  </si>
  <si>
    <t>AUGUSTO NATIVEL RIVERA PABON</t>
  </si>
  <si>
    <t>CR 1 21 35 BRR LAS MERCEDES</t>
  </si>
  <si>
    <t>CARDENAS HENAO JOSE LEONARDO</t>
  </si>
  <si>
    <t>TV 25B  25 36</t>
  </si>
  <si>
    <t>CORAL BENITEZ MIRYAN ALICIA</t>
  </si>
  <si>
    <t>CALLE 6 NO. 21A-10 CASA BELLA</t>
  </si>
  <si>
    <t>TACURI RIVAS DIANA CATALINA</t>
  </si>
  <si>
    <t>CALLE 1 OESTE</t>
  </si>
  <si>
    <t>CL 2 22 75 BRR BACHUE</t>
  </si>
  <si>
    <t>MENESES RIVADENEIRA WILLIAN ANDRES</t>
  </si>
  <si>
    <t>AVENIDA BOYACA</t>
  </si>
  <si>
    <t>CR 18 12 13 AV BOYACA</t>
  </si>
  <si>
    <t>AV CL 26 69C 03 PISOS 5 6</t>
  </si>
  <si>
    <t>AUTOPISTA NORTE 124 02</t>
  </si>
  <si>
    <t>NUEVA EPS S.A</t>
  </si>
  <si>
    <t>CARRERA 85 CL 46 A 66</t>
  </si>
  <si>
    <t>CUARAN ORTIZ CUARAN ORTIZ CRISTIAN JHONA</t>
  </si>
  <si>
    <t>Cl 12 D  4A 03</t>
  </si>
  <si>
    <t>PIEDRAHITA PINEDA MONICA</t>
  </si>
  <si>
    <t>CR 42 A  14C - 07</t>
  </si>
  <si>
    <t>PEREZ RIVERA WILLINTONG RAMIRO</t>
  </si>
  <si>
    <t>MZ H CASA 6 LA LOMITA</t>
  </si>
  <si>
    <t>AV EL DORADO No 68B 85</t>
  </si>
  <si>
    <t>ESE HOSPITAL SAN RAFAEL GIRARDOTA</t>
  </si>
  <si>
    <t>CR 16 11 01</t>
  </si>
  <si>
    <t>CRA 33 28 126</t>
  </si>
  <si>
    <t>SUBRED INTEGRADA DE SERVICIOS DE SALUD C</t>
  </si>
  <si>
    <t>DIAGONAL 24 5 43</t>
  </si>
  <si>
    <t>SUBREDINTEGRADA DE SERVICIOS DE SALUD NO</t>
  </si>
  <si>
    <t>CRA 6A No 19B 14</t>
  </si>
  <si>
    <t>DV.tercero</t>
  </si>
  <si>
    <t>Ciudad</t>
  </si>
  <si>
    <t>Saldo cuentas por cobrar al 31 de diciembre</t>
  </si>
  <si>
    <t>Total general</t>
  </si>
  <si>
    <t>Suma de Total COP</t>
  </si>
  <si>
    <t>Total</t>
  </si>
  <si>
    <t>Total 16952</t>
  </si>
  <si>
    <t>Total 169</t>
  </si>
  <si>
    <t>Total AV PANAMERICANA CR 40 A 19 B 55</t>
  </si>
  <si>
    <t>Total 814006009</t>
  </si>
  <si>
    <t>Total CR 32 12 19</t>
  </si>
  <si>
    <t>Total 814006325</t>
  </si>
  <si>
    <t>Total 16976</t>
  </si>
  <si>
    <t>Total CL 11D 31 10</t>
  </si>
  <si>
    <t>Total 900057647</t>
  </si>
  <si>
    <t>Total CLL 11 A 33 ESQ</t>
  </si>
  <si>
    <t>Total 900062612</t>
  </si>
  <si>
    <t>Total CR 29 12 A 15 BRR SAN IGNACIO</t>
  </si>
  <si>
    <t>Total 900077584</t>
  </si>
  <si>
    <t>Total 901021565</t>
  </si>
  <si>
    <t>Total 16150501</t>
  </si>
  <si>
    <t>Total C L 18 28 16 CEN OF 202</t>
  </si>
  <si>
    <t>Total 900562602</t>
  </si>
  <si>
    <t>Total 16301501</t>
  </si>
  <si>
    <t>Total CR 1 21 35 BRR LAS MERCEDES</t>
  </si>
  <si>
    <t>Total 12979678</t>
  </si>
  <si>
    <t>Total TV 25B  25 36</t>
  </si>
  <si>
    <t>Total 16738238</t>
  </si>
  <si>
    <t>Total CALLE 6 NO. 21A-10 CASA BELLA</t>
  </si>
  <si>
    <t>Total 59314743</t>
  </si>
  <si>
    <t>Total CALLE 1 OESTE</t>
  </si>
  <si>
    <t>Total 59678077</t>
  </si>
  <si>
    <t>Total CR 18 12 13 AV BOYACA</t>
  </si>
  <si>
    <t>Total 98388842</t>
  </si>
  <si>
    <t>Total CL 2 22 75 BRR BACHUE</t>
  </si>
  <si>
    <t>Total 900163149</t>
  </si>
  <si>
    <t>Total CR 19 25 45 BRR ALAMEDA</t>
  </si>
  <si>
    <t>Total 1080690236</t>
  </si>
  <si>
    <t>Total COND. ACHALAY MZ F CA 4</t>
  </si>
  <si>
    <t>Total 1085254570</t>
  </si>
  <si>
    <t>Total CL 2. 6689 APTO 401</t>
  </si>
  <si>
    <t>Total 1113634646</t>
  </si>
  <si>
    <t>Total 16309501</t>
  </si>
  <si>
    <t>Total 16911</t>
  </si>
  <si>
    <t>Total AV CL 26 69C 03 PISOS 5 6</t>
  </si>
  <si>
    <t>Total 800226175</t>
  </si>
  <si>
    <t>Total AUTOPISTA NORTE 124 02</t>
  </si>
  <si>
    <t>Total 800251440</t>
  </si>
  <si>
    <t>Total CARRERA 85 CL 46 A 66</t>
  </si>
  <si>
    <t>Total 900156264</t>
  </si>
  <si>
    <t>Total 16500501</t>
  </si>
  <si>
    <t>Total CR 42 A  14C - 07</t>
  </si>
  <si>
    <t>Total 66981872</t>
  </si>
  <si>
    <t>Total MZ H CASA 6 LA LOMITA</t>
  </si>
  <si>
    <t>Total 98388779</t>
  </si>
  <si>
    <t>Total Cl 12 D  4A 03</t>
  </si>
  <si>
    <t>Total 1085288640</t>
  </si>
  <si>
    <t>Total 16551001</t>
  </si>
  <si>
    <t>Total AV EL DORADO No 68B 85</t>
  </si>
  <si>
    <t>Total 860034313</t>
  </si>
  <si>
    <t>Total 16905</t>
  </si>
  <si>
    <t>Total CR 16 11 01</t>
  </si>
  <si>
    <t>Total 890980727</t>
  </si>
  <si>
    <t>Total 16968</t>
  </si>
  <si>
    <t>Total CRA 33 28 126</t>
  </si>
  <si>
    <t>Total 900006037</t>
  </si>
  <si>
    <t>Total DIAGONAL 24 5 43</t>
  </si>
  <si>
    <t>Total 900959051</t>
  </si>
  <si>
    <t>Total CRA 6A No 19B 14</t>
  </si>
  <si>
    <t>Total 900971006</t>
  </si>
  <si>
    <t>Total 16602002</t>
  </si>
  <si>
    <t>Total COOPERATIVA DE SERVICIOS INTEGRALES DE S</t>
  </si>
  <si>
    <t>Total COOPERATIVA EMSSANAR SERVICIO FARMACEUTI</t>
  </si>
  <si>
    <t>Total COOPERATIVA MULTIACTIVA DE EMPLEADOS DE</t>
  </si>
  <si>
    <t>Total EMSSANAR SOCIEDAD POR ACCIONES SIMPLIFIC</t>
  </si>
  <si>
    <t>Total FUNDACION MAS INNOVACION, MAS SOCIAL</t>
  </si>
  <si>
    <t>Total INSTITUTO CANCEROLOGICO DE NARIÑO LIMITA</t>
  </si>
  <si>
    <t>Total SITI SOLUCIONES SAS</t>
  </si>
  <si>
    <t>Total AUGUSTO NATIVEL RIVERA PABON</t>
  </si>
  <si>
    <t>Total CARDENAS HENAO JOSE LEONARDO</t>
  </si>
  <si>
    <t>Total CEDEÑO GUTIERREZ DIEGO FERNANDO</t>
  </si>
  <si>
    <t>Total CORAL BENITEZ MIRYAN ALICIA</t>
  </si>
  <si>
    <t>Total DIEGO ARMANDO SOLARTE CHAVEZ</t>
  </si>
  <si>
    <t>Total MENESES RIVADENEIRA WILLIAN ANDRES</t>
  </si>
  <si>
    <t>Total ORTEGA PALACIOS ADRIANA CAROLINA</t>
  </si>
  <si>
    <t>Total SP SISTEMAS PALACIOS LTDA</t>
  </si>
  <si>
    <t>Total TACURI RIVAS DIANA CATALINA</t>
  </si>
  <si>
    <t>Total COLMENA RIESGOS PROFESIONALES</t>
  </si>
  <si>
    <t>Total EPS SANITAS S.A.S</t>
  </si>
  <si>
    <t>Total NUEVA EPS S.A</t>
  </si>
  <si>
    <t>Total CUARAN ORTIZ CUARAN ORTIZ CRISTIAN JHONA</t>
  </si>
  <si>
    <t>Total PEREZ RIVERA WILLINTONG RAMIRO</t>
  </si>
  <si>
    <t>Total PIEDRAHITA PINEDA MONICA</t>
  </si>
  <si>
    <t>Total BANCO DAVIVIENDA S.A</t>
  </si>
  <si>
    <t>Total ESE HOSPITAL SAN RAFAEL GIRARDOTA</t>
  </si>
  <si>
    <t>Total ESE HOSPITAL UNIVERSITARIO DE SANTANDER</t>
  </si>
  <si>
    <t>Total SUBRED INTEGRADA DE SERVICIOS DE SALUD C</t>
  </si>
  <si>
    <t>Total SUBREDINTEGRADA DE SERVICIOS DE SALUD NO</t>
  </si>
  <si>
    <t>SOLARTE</t>
  </si>
  <si>
    <t>CHAVEZ</t>
  </si>
  <si>
    <t xml:space="preserve">DIEGO </t>
  </si>
  <si>
    <t xml:space="preserve">ARMANDO </t>
  </si>
  <si>
    <t xml:space="preserve">ORTEGA </t>
  </si>
  <si>
    <t xml:space="preserve">PALACIOS </t>
  </si>
  <si>
    <t xml:space="preserve">ADRIANA </t>
  </si>
  <si>
    <t>CAROLINA</t>
  </si>
  <si>
    <t xml:space="preserve">CEDEÑO </t>
  </si>
  <si>
    <t>GUTIERREZ DIEGO FERNANDO</t>
  </si>
  <si>
    <t>FERNANDO</t>
  </si>
  <si>
    <t xml:space="preserve">AUGUSTO </t>
  </si>
  <si>
    <t>NATIVEL</t>
  </si>
  <si>
    <t xml:space="preserve">RIVERA </t>
  </si>
  <si>
    <t>PABON</t>
  </si>
  <si>
    <t>CARDENAS</t>
  </si>
  <si>
    <t>HENAO</t>
  </si>
  <si>
    <t xml:space="preserve">JOSE </t>
  </si>
  <si>
    <t>LEONARDO</t>
  </si>
  <si>
    <t xml:space="preserve">CORAL </t>
  </si>
  <si>
    <t xml:space="preserve">BENITEZ </t>
  </si>
  <si>
    <t xml:space="preserve">MIRYAN </t>
  </si>
  <si>
    <t>ALICIA</t>
  </si>
  <si>
    <t>TACURI</t>
  </si>
  <si>
    <t>RIVAS</t>
  </si>
  <si>
    <t>CATALINA</t>
  </si>
  <si>
    <t xml:space="preserve">MENESES </t>
  </si>
  <si>
    <t>RIVADENEIRA</t>
  </si>
  <si>
    <t>WILLIAN ANDRES</t>
  </si>
  <si>
    <t>ANDRES</t>
  </si>
  <si>
    <t xml:space="preserve">CUARAN </t>
  </si>
  <si>
    <t xml:space="preserve">ORTIZ </t>
  </si>
  <si>
    <t>CRISTIAN</t>
  </si>
  <si>
    <t xml:space="preserve"> JHONATAN</t>
  </si>
  <si>
    <t>PIEDRAHITA</t>
  </si>
  <si>
    <t xml:space="preserve">PINEDA </t>
  </si>
  <si>
    <t>MONICA</t>
  </si>
  <si>
    <t xml:space="preserve">PEREZ </t>
  </si>
  <si>
    <t>RIVERA</t>
  </si>
  <si>
    <t xml:space="preserve">WILLINGTOPN </t>
  </si>
  <si>
    <t>CL 11 A 33 ESQ</t>
  </si>
  <si>
    <t>X</t>
  </si>
  <si>
    <t>XX</t>
  </si>
  <si>
    <t>01</t>
  </si>
  <si>
    <t>Tercero</t>
  </si>
  <si>
    <t>Saldo cuentas por pagar al 31 de diciembre</t>
  </si>
  <si>
    <t>TATICUAN</t>
  </si>
  <si>
    <t>ENRIQUEZ</t>
  </si>
  <si>
    <t>DELGADO</t>
  </si>
  <si>
    <t>RODRIGUEZ</t>
  </si>
  <si>
    <t>ORDOÑEZ</t>
  </si>
  <si>
    <t>HIDALGO</t>
  </si>
  <si>
    <t>ERASO</t>
  </si>
  <si>
    <t>GIRON</t>
  </si>
  <si>
    <t>CERON</t>
  </si>
  <si>
    <t>BRAVO</t>
  </si>
  <si>
    <t>MIDEROS</t>
  </si>
  <si>
    <t>VARGAS</t>
  </si>
  <si>
    <t>MUÑOZ</t>
  </si>
  <si>
    <t>TIMANA</t>
  </si>
  <si>
    <t>ROSERO</t>
  </si>
  <si>
    <t>ORTIZ</t>
  </si>
  <si>
    <t>ARTEAGA</t>
  </si>
  <si>
    <t>CEBALLOS</t>
  </si>
  <si>
    <t>CEPEDA</t>
  </si>
  <si>
    <t>FIGUEROA</t>
  </si>
  <si>
    <t>GOYES</t>
  </si>
  <si>
    <t>TORRES</t>
  </si>
  <si>
    <t>CAICEDO</t>
  </si>
  <si>
    <t>SOTO</t>
  </si>
  <si>
    <t>ESTRELLA</t>
  </si>
  <si>
    <t>CABRERA</t>
  </si>
  <si>
    <t>QUITIAQUEZ</t>
  </si>
  <si>
    <t>DERAZO</t>
  </si>
  <si>
    <t>BELALCAZAR</t>
  </si>
  <si>
    <t>DIAZ</t>
  </si>
  <si>
    <t>GUTIERREZ</t>
  </si>
  <si>
    <t>CALDERON</t>
  </si>
  <si>
    <t>BOTINA</t>
  </si>
  <si>
    <t>CUASTUMAL</t>
  </si>
  <si>
    <t>FREIRE</t>
  </si>
  <si>
    <t>BELTRAN</t>
  </si>
  <si>
    <t>PINEDA</t>
  </si>
  <si>
    <t>CUARAN</t>
  </si>
  <si>
    <t>GALEANO</t>
  </si>
  <si>
    <t>RAMIREZ</t>
  </si>
  <si>
    <t>REALPE</t>
  </si>
  <si>
    <t>BARCO</t>
  </si>
  <si>
    <t>BARAHONA</t>
  </si>
  <si>
    <t>ESPINOZA</t>
  </si>
  <si>
    <t>BOLAÑOS</t>
  </si>
  <si>
    <t>ANAMA</t>
  </si>
  <si>
    <t>JIMENEZ</t>
  </si>
  <si>
    <t>RECALDE</t>
  </si>
  <si>
    <t>MENESES</t>
  </si>
  <si>
    <t>ARAUJO</t>
  </si>
  <si>
    <t>VALENCIA</t>
  </si>
  <si>
    <t>CALERO</t>
  </si>
  <si>
    <t>PORTILLA</t>
  </si>
  <si>
    <t>GONZALEZ</t>
  </si>
  <si>
    <t>MONCAYO</t>
  </si>
  <si>
    <t>DE BOLAÑOS</t>
  </si>
  <si>
    <t>ARANA</t>
  </si>
  <si>
    <t>SEDAS</t>
  </si>
  <si>
    <t>BENAVIDEZ</t>
  </si>
  <si>
    <t>ORTEGA</t>
  </si>
  <si>
    <t>PALACIOS</t>
  </si>
  <si>
    <t>CEDEÑO</t>
  </si>
  <si>
    <t>PANTOJA</t>
  </si>
  <si>
    <t>ARTURO</t>
  </si>
  <si>
    <t>LOPEZ</t>
  </si>
  <si>
    <t>ALVAREZ</t>
  </si>
  <si>
    <t>HERNANDEZ</t>
  </si>
  <si>
    <t>RUALES</t>
  </si>
  <si>
    <t>GUERRERO</t>
  </si>
  <si>
    <t>ESPITIA</t>
  </si>
  <si>
    <t>PENA</t>
  </si>
  <si>
    <t>CORDOBA</t>
  </si>
  <si>
    <t>TAFUR</t>
  </si>
  <si>
    <t>NARVAEZ</t>
  </si>
  <si>
    <t>CORAL</t>
  </si>
  <si>
    <t>BENITEZ</t>
  </si>
  <si>
    <t>BASTIDAS</t>
  </si>
  <si>
    <t>MORALES</t>
  </si>
  <si>
    <t>MELO</t>
  </si>
  <si>
    <t>VILLACRIZ</t>
  </si>
  <si>
    <t>HUERTAS</t>
  </si>
  <si>
    <t>CANCHALA</t>
  </si>
  <si>
    <t>BARONA</t>
  </si>
  <si>
    <t>MEDINA</t>
  </si>
  <si>
    <t>COBO</t>
  </si>
  <si>
    <t>MURIEL</t>
  </si>
  <si>
    <t>ARCINIEGAS</t>
  </si>
  <si>
    <t>ERAZO</t>
  </si>
  <si>
    <t>ROMERO</t>
  </si>
  <si>
    <t>BENAVIDES</t>
  </si>
  <si>
    <t>ROSALES</t>
  </si>
  <si>
    <t>REVELO</t>
  </si>
  <si>
    <t>VILLACREZ</t>
  </si>
  <si>
    <t>GUATUSMAL</t>
  </si>
  <si>
    <t>MERCADO</t>
  </si>
  <si>
    <t>HERRERA</t>
  </si>
  <si>
    <t>ARELLANO</t>
  </si>
  <si>
    <t>MONTENEGRO</t>
  </si>
  <si>
    <t>TORO</t>
  </si>
  <si>
    <t>PORTILLO</t>
  </si>
  <si>
    <t>GALARZA</t>
  </si>
  <si>
    <t>FAJARDO</t>
  </si>
  <si>
    <t>IBARRA</t>
  </si>
  <si>
    <t>CASTRO</t>
  </si>
  <si>
    <t>PULIDO</t>
  </si>
  <si>
    <t>SALAZAR</t>
  </si>
  <si>
    <t>AGREDA</t>
  </si>
  <si>
    <t>ARARA</t>
  </si>
  <si>
    <t>JURADO</t>
  </si>
  <si>
    <t>SAENZ</t>
  </si>
  <si>
    <t>MANCHOLA</t>
  </si>
  <si>
    <t>EPS Y MEDICINA PREPAGADA SURAMERICANA S.</t>
  </si>
  <si>
    <t>INSTITUTO RADIOLOGICO DEL SUR IPIALES SA</t>
  </si>
  <si>
    <t>CLARO COMCEL S.A</t>
  </si>
  <si>
    <t>CONSULNETWORKS S.A. E.S.P.</t>
  </si>
  <si>
    <t>EMSSANAR ENTIDAD PROMOTORA DE SALUD SAS</t>
  </si>
  <si>
    <t>CAJA DE COMPENSACION FAMILIAR DEL VALLE</t>
  </si>
  <si>
    <t>URRESTA GUEVARA BASANTE  TORO GRUPO JURI</t>
  </si>
  <si>
    <t>EMPRESAS MUNICIPALES DE CALI EICE ESP</t>
  </si>
  <si>
    <t>FONDO DE EMPLEADOS DE LA EMPRESA SOLIDAR</t>
  </si>
  <si>
    <t>DIRECCION DE IMPUESTOS Y ADUANAS NACIONA</t>
  </si>
  <si>
    <t>ADMINISTRADORA COLOMBIANA DE PENSIONES</t>
  </si>
  <si>
    <t>COMFENALCO VALLE DE LA GENTE</t>
  </si>
  <si>
    <t>ASOCIACION MUTUAL EMSSANAR (MUTUAL EMSSA</t>
  </si>
  <si>
    <t>COLOMBIA TELECOMUNICACIONES S.A E.S.P</t>
  </si>
  <si>
    <t>INTERAMERICAN TECHNOLOGIES SAS</t>
  </si>
  <si>
    <t>CENTRALES ELECTRICAS DE NARIÑO SA ESP</t>
  </si>
  <si>
    <t>JOSE PLUTARCO CUELLAR Z.S. EN C.S.</t>
  </si>
  <si>
    <t>COMPAÑIA DE SERVICIO LOGISTICO COLOMBIA</t>
  </si>
  <si>
    <t>EMPRESA INMOBILIARIA NUEVA EPOCA SAS</t>
  </si>
  <si>
    <t>PORVENIR S.A.</t>
  </si>
  <si>
    <t>BANCO DAVIVIENDA SA</t>
  </si>
  <si>
    <t>FUNDACION DE SERVICIOS EDUCATIVOS DE EMS</t>
  </si>
  <si>
    <t>SUPERSERVICIOS DE NARIÑO S A</t>
  </si>
  <si>
    <t>HABLAME COLOMBIA SA ESP</t>
  </si>
  <si>
    <t>CAJA DE COMPENSACION FAMILIAR DE NARINO</t>
  </si>
  <si>
    <t>EMPRESA DE OBRAS SANITARIAS DE PASTO SA</t>
  </si>
  <si>
    <t>MACRES - ASOCIACION MUTUAL DE AHORRO Y C</t>
  </si>
  <si>
    <t>PROTECCION</t>
  </si>
  <si>
    <t>VIAJES FAJARDO TOURS L ALINXA LTDA</t>
  </si>
  <si>
    <t>WALTER BRIDGE Y CIA S.A.</t>
  </si>
  <si>
    <t>CORPORACION SOCIAL Y RECREATIVA CLUB DEL</t>
  </si>
  <si>
    <t>CONSORCIO SAYP 2011</t>
  </si>
  <si>
    <t>COLFONDOS</t>
  </si>
  <si>
    <t>BRR EL  DORADO</t>
  </si>
  <si>
    <t>CR 29  73  76</t>
  </si>
  <si>
    <t>MZ 18 CASA 6</t>
  </si>
  <si>
    <t>MZ D CASA 9 SANTA CATALINA</t>
  </si>
  <si>
    <t>CR 4 12E 45</t>
  </si>
  <si>
    <t>MZ 2 CA 2</t>
  </si>
  <si>
    <t>MZ C CASA 57 BRR  SANTA MONICA</t>
  </si>
  <si>
    <t>M4 C 6</t>
  </si>
  <si>
    <t>CR 64B 49A 30</t>
  </si>
  <si>
    <t>CR 5 9 28</t>
  </si>
  <si>
    <t>CR 32 12 29</t>
  </si>
  <si>
    <t>CR 100 11 60 OF 317 318 319 616 701</t>
  </si>
  <si>
    <t>CR 4  3 96</t>
  </si>
  <si>
    <t>CR 31 16 25</t>
  </si>
  <si>
    <t>AV 9 30A 56</t>
  </si>
  <si>
    <t>CR 23 26B   46</t>
  </si>
  <si>
    <t>CR 5A SUR 23 16</t>
  </si>
  <si>
    <t>CL 19 21 60 CENTRO EMPRESARIAL PUERTA DE</t>
  </si>
  <si>
    <t>ED CAM AV 2 NORTE 10 76</t>
  </si>
  <si>
    <t>CR 2 4 45 BRR LA PAMBA</t>
  </si>
  <si>
    <t>CL 11A CON 33 ESQUINA</t>
  </si>
  <si>
    <t>CLL 12 No 27 52 BR SAN FELIPE</t>
  </si>
  <si>
    <t>CR 21B 3 SUR  56</t>
  </si>
  <si>
    <t>MZ I CA 3</t>
  </si>
  <si>
    <t>CL 12 40 42</t>
  </si>
  <si>
    <t>CL 5 N  6 63</t>
  </si>
  <si>
    <t>CL 11A CON CR 33 ESQUINA</t>
  </si>
  <si>
    <t>CL 5  83 00 CALI</t>
  </si>
  <si>
    <t>CL 10 CR 6</t>
  </si>
  <si>
    <t>CL 100 5 169 P6 CC UNICENTRO</t>
  </si>
  <si>
    <t>CL 18 B 6 28 BRR SENDOYA</t>
  </si>
  <si>
    <t>CLL 14 5 73</t>
  </si>
  <si>
    <t>CR 41  20 48</t>
  </si>
  <si>
    <t>CLL 13A No 18 50 BR LAS AMERICAS</t>
  </si>
  <si>
    <t>CL 43 69 35</t>
  </si>
  <si>
    <t>CR 48 26 85 TO NORTE P1</t>
  </si>
  <si>
    <t>CL 20 36 12 OF AV LOS ESTUDIANTES</t>
  </si>
  <si>
    <t>CR 23 15 50 CENTRO</t>
  </si>
  <si>
    <t>CR 30 17 38 BRR MARIDIAZ</t>
  </si>
  <si>
    <t>CR 31 19 A 34 BRR LAS CUADRAS</t>
  </si>
  <si>
    <t>CR 22  37   50</t>
  </si>
  <si>
    <t>CR 25 17 50</t>
  </si>
  <si>
    <t>AV EL DORADO 68B 85</t>
  </si>
  <si>
    <t>CL 12 27 113</t>
  </si>
  <si>
    <t>BRR LOS ROSALES ETAPA II CAM ANGANOY</t>
  </si>
  <si>
    <t>Cl 16 30 53</t>
  </si>
  <si>
    <t>CR 38 C MZ T CA 3</t>
  </si>
  <si>
    <t>CLL 13 No 22 A 15</t>
  </si>
  <si>
    <t>LA JOSEFINA CASA 40</t>
  </si>
  <si>
    <t>CR 24 21 40</t>
  </si>
  <si>
    <t>CL 13 21 04 BRR LAS AMERICAS</t>
  </si>
  <si>
    <t>CL 8  2  11 SAN FERNANDO</t>
  </si>
  <si>
    <t>CR 4 N  3 25 LA BODEGA</t>
  </si>
  <si>
    <t>CL 11 A CR 33 ESQ BRR LA AURORA</t>
  </si>
  <si>
    <t>CL 62B 1A 9 205 AP 6D 12</t>
  </si>
  <si>
    <t>CL 7 15 29</t>
  </si>
  <si>
    <t>CR 52 76 167</t>
  </si>
  <si>
    <t>CC GALERIAS LC 120</t>
  </si>
  <si>
    <t>CR 44 20 105 URB JORGE IZQUIERDO</t>
  </si>
  <si>
    <t>MZ 12 CASA 13 BR AGUALONGO PASTO</t>
  </si>
  <si>
    <t>TR 35 DG 2 A N 1 75</t>
  </si>
  <si>
    <t>CL 13  23 40</t>
  </si>
  <si>
    <t>CL 11  17 79</t>
  </si>
  <si>
    <t>CL 67 7 94 PISO 18</t>
  </si>
  <si>
    <t>ALTOS DE CHAPALITO</t>
  </si>
  <si>
    <t>MZ 4 CASA 10 BR SINDAMANOY</t>
  </si>
  <si>
    <t>AGUALONGO</t>
  </si>
  <si>
    <t>MZ 26 CA 19</t>
  </si>
  <si>
    <t>CR 33 6 OESTE 29 CA 2 A</t>
  </si>
  <si>
    <t>CR 18 10  B113</t>
  </si>
  <si>
    <t xml:space="preserve">ISABEL </t>
  </si>
  <si>
    <t>DIOCELINA</t>
  </si>
  <si>
    <t xml:space="preserve">GUILLERMO </t>
  </si>
  <si>
    <t xml:space="preserve">SIGIFREDO </t>
  </si>
  <si>
    <t>MAURICIO</t>
  </si>
  <si>
    <t>JOSE</t>
  </si>
  <si>
    <t>CL 16 A 15 54</t>
  </si>
  <si>
    <t>CR  39C  50 A  05 BRR EL RETIRO</t>
  </si>
  <si>
    <t>CR 42 A  14 C 07</t>
  </si>
  <si>
    <t>CONSTANZA</t>
  </si>
  <si>
    <t>CRISTINA</t>
  </si>
  <si>
    <t>MARTHA</t>
  </si>
  <si>
    <t>CECILIA</t>
  </si>
  <si>
    <t>DILIA</t>
  </si>
  <si>
    <t>RUBIELA</t>
  </si>
  <si>
    <t>ALVARO</t>
  </si>
  <si>
    <t>JESUS</t>
  </si>
  <si>
    <t>LUIS</t>
  </si>
  <si>
    <t>IGNACIO</t>
  </si>
  <si>
    <t>DIEGO</t>
  </si>
  <si>
    <t>ESTEBAN</t>
  </si>
  <si>
    <t>FERNEY</t>
  </si>
  <si>
    <t>JOHANNA</t>
  </si>
  <si>
    <t>ANA</t>
  </si>
  <si>
    <t>DAVID</t>
  </si>
  <si>
    <t>GIOVANY</t>
  </si>
  <si>
    <t>NED</t>
  </si>
  <si>
    <t>WILSON</t>
  </si>
  <si>
    <t>ANGELA</t>
  </si>
  <si>
    <t>MIGUEL</t>
  </si>
  <si>
    <t>ANGEL</t>
  </si>
  <si>
    <t>CARMEN</t>
  </si>
  <si>
    <t>MARYERLLY</t>
  </si>
  <si>
    <t>MARIA</t>
  </si>
  <si>
    <t>DEL CARMEN</t>
  </si>
  <si>
    <t>MARLON</t>
  </si>
  <si>
    <t>FABIAN</t>
  </si>
  <si>
    <t>MILDRED</t>
  </si>
  <si>
    <t>LORENA</t>
  </si>
  <si>
    <t>JHONATAN</t>
  </si>
  <si>
    <t>JOHN</t>
  </si>
  <si>
    <t>ANDERSON</t>
  </si>
  <si>
    <t>MARY</t>
  </si>
  <si>
    <t>NANCY</t>
  </si>
  <si>
    <t>HERNANDO</t>
  </si>
  <si>
    <t>CUSTODIO</t>
  </si>
  <si>
    <t>CARLOS</t>
  </si>
  <si>
    <t>ERIKA</t>
  </si>
  <si>
    <t>ESTEFANIA</t>
  </si>
  <si>
    <t>TERESITA</t>
  </si>
  <si>
    <t>MARINO</t>
  </si>
  <si>
    <t>ARMANDO</t>
  </si>
  <si>
    <t>BAYRON</t>
  </si>
  <si>
    <t>LISNEY</t>
  </si>
  <si>
    <t>EUGENIA</t>
  </si>
  <si>
    <t>ADRIANA</t>
  </si>
  <si>
    <t>TATIANA</t>
  </si>
  <si>
    <t>LUISA</t>
  </si>
  <si>
    <t>STEFANY</t>
  </si>
  <si>
    <t>ENRIQUE</t>
  </si>
  <si>
    <t>ROSALBA</t>
  </si>
  <si>
    <t>JAZMIN</t>
  </si>
  <si>
    <t>ALEIDA</t>
  </si>
  <si>
    <t>MERCEDES</t>
  </si>
  <si>
    <t>JOHNNY</t>
  </si>
  <si>
    <t>ALBERTO</t>
  </si>
  <si>
    <t>MIRYAN</t>
  </si>
  <si>
    <t>DANIEL</t>
  </si>
  <si>
    <t>FELIPE</t>
  </si>
  <si>
    <t>GABRIELA</t>
  </si>
  <si>
    <t>WILLIAN</t>
  </si>
  <si>
    <t>ALEXANDER</t>
  </si>
  <si>
    <t>MANUEL</t>
  </si>
  <si>
    <t>EFREN</t>
  </si>
  <si>
    <t>RICARDO</t>
  </si>
  <si>
    <t>ERNESTO</t>
  </si>
  <si>
    <t>HILIANA</t>
  </si>
  <si>
    <t>DE JESUS</t>
  </si>
  <si>
    <t>SANDRA</t>
  </si>
  <si>
    <t>RUBY</t>
  </si>
  <si>
    <t>LUCELY</t>
  </si>
  <si>
    <t>AMAHAN</t>
  </si>
  <si>
    <t>ALIRIO</t>
  </si>
  <si>
    <t>DEIFILIA</t>
  </si>
  <si>
    <t>JOHAN</t>
  </si>
  <si>
    <t>CESAR</t>
  </si>
  <si>
    <t>JAVIER</t>
  </si>
  <si>
    <t>ISABEL</t>
  </si>
  <si>
    <t>PABLO</t>
  </si>
  <si>
    <t>RICHARD</t>
  </si>
  <si>
    <t>FABIO</t>
  </si>
  <si>
    <t>ADALBERTO</t>
  </si>
  <si>
    <t>JHON</t>
  </si>
  <si>
    <t>JAIRO</t>
  </si>
  <si>
    <t>NATALY</t>
  </si>
  <si>
    <t>JANNETH</t>
  </si>
  <si>
    <t>LUCERO</t>
  </si>
  <si>
    <t>ELIZABETH</t>
  </si>
  <si>
    <t>EDUARDO</t>
  </si>
  <si>
    <t>JUAN</t>
  </si>
  <si>
    <t>RICAURTE</t>
  </si>
  <si>
    <t>MZ B CASA 6 BRR FRAY EZEQUIEL</t>
  </si>
  <si>
    <t>BRR CENTRO</t>
  </si>
  <si>
    <t>MZ 15 CA 10 BRR  VALVANERA</t>
  </si>
  <si>
    <t>SANDONA</t>
  </si>
  <si>
    <t>DG 65 No 33 09 AP C4 101</t>
  </si>
  <si>
    <t>AUT NORTE 124 02</t>
  </si>
  <si>
    <t>Cr 8  1 36 ED PORTAL DEL MO</t>
  </si>
  <si>
    <t>CR 68A 24A 10 SEDE ADMINISTRATIVA</t>
  </si>
  <si>
    <t>CR 42 16A 100</t>
  </si>
  <si>
    <t>CR 3 A No 3 58</t>
  </si>
  <si>
    <t>CR 28 A 72 Y 46</t>
  </si>
  <si>
    <t>CR 23 B No 4 08 BR MIJITAYO</t>
  </si>
  <si>
    <t>CR 36  36A 18</t>
  </si>
  <si>
    <t>CR 18 No 22 B 32 BR CENTENARIO</t>
  </si>
  <si>
    <t>CR 15 MZ l CA 10 BARRIO CAICEDO ALTO</t>
  </si>
  <si>
    <t>MZ 25 CA 7</t>
  </si>
  <si>
    <t>MANZANA B  CA 11 LA ISABELA</t>
  </si>
  <si>
    <t>AV 80 OESTE 3144</t>
  </si>
  <si>
    <t>CL 11 25 05</t>
  </si>
  <si>
    <t>CL 18 B 44B 72</t>
  </si>
  <si>
    <t>CR 7 E No 1639 BR PRAGA</t>
  </si>
  <si>
    <t>CR 31A  2743 JARDIN CALI</t>
  </si>
  <si>
    <t>CL 20 A 31 C 50 ED TRRE DEL RIO</t>
  </si>
  <si>
    <t>JONGOVITO CA No 2 B1 SECTR SAN FRA</t>
  </si>
  <si>
    <t>AV CL 26  69 76 TR 1 PIS 17</t>
  </si>
  <si>
    <t>CR1 B 1 N52 A BIS 25 BR PALMERA</t>
  </si>
  <si>
    <t>CR 10 72 33 TO B PISO 7</t>
  </si>
  <si>
    <t>CR 18 N 13 60</t>
  </si>
  <si>
    <t>AUT KM 19 C EMPRESARIAL TYFA OF 203</t>
  </si>
  <si>
    <t>AV 2 C  75 N  28 AP 104</t>
  </si>
  <si>
    <t>BL 7 AP 402 AGUALONGO 2</t>
  </si>
  <si>
    <t>CALLE 6 N 21 A 10 CASA BELLA</t>
  </si>
  <si>
    <t>COND ACHALAY MZ F CA 4</t>
  </si>
  <si>
    <t>CL 2 6689 AP 401</t>
  </si>
  <si>
    <t>022</t>
  </si>
  <si>
    <t>1110</t>
  </si>
  <si>
    <t>31</t>
  </si>
  <si>
    <t>890903938</t>
  </si>
  <si>
    <t>8</t>
  </si>
  <si>
    <t>BANCOLOMBIA S.A</t>
  </si>
  <si>
    <t>169</t>
  </si>
  <si>
    <t>860034313</t>
  </si>
  <si>
    <t>7</t>
  </si>
  <si>
    <t>BANCO DAVIVIENDA</t>
  </si>
  <si>
    <t>901021565</t>
  </si>
  <si>
    <t xml:space="preserve">EMSSANAR ENTIDAD PROMOTORA DE SALUD EPS SAS </t>
  </si>
  <si>
    <t>1204</t>
  </si>
  <si>
    <t>1203</t>
  </si>
  <si>
    <t>Saldos al -31-12</t>
  </si>
  <si>
    <t>CONCEPTOS</t>
  </si>
  <si>
    <t>ART E.T.</t>
  </si>
  <si>
    <t>Deducción o costo por aportes al SENA</t>
  </si>
  <si>
    <t>Deducción o costo por aportes al ICBF</t>
  </si>
  <si>
    <t>Deducción por gravamen a los movimientos financieros</t>
  </si>
  <si>
    <t>Deducción por depreciación.</t>
  </si>
  <si>
    <t>Art 128</t>
  </si>
  <si>
    <t>Deducción por pagos efectuados a las empresas promotoras de salud EPS y los aportes al Sistema de Riesgos Laborales.</t>
  </si>
  <si>
    <t>Deducción o costo por aportes a CCF Cajas de Compensación Familiar</t>
  </si>
  <si>
    <r>
      <t xml:space="preserve">Deducción por salarios, y demás pagos laborales. (NO incluir </t>
    </r>
    <r>
      <rPr>
        <sz val="10"/>
        <color indexed="10"/>
        <rFont val="Arial"/>
        <family val="2"/>
      </rPr>
      <t>otros</t>
    </r>
    <r>
      <rPr>
        <sz val="10"/>
        <rFont val="Arial"/>
        <family val="2"/>
      </rPr>
      <t xml:space="preserve"> conceptos)</t>
    </r>
  </si>
  <si>
    <t>DEDUCCIONES REPARACIONES LOCATIVAS</t>
  </si>
  <si>
    <t>OCAMPO</t>
  </si>
  <si>
    <t xml:space="preserve">ALQUIVER </t>
  </si>
  <si>
    <t xml:space="preserve">FONDE DE PENSDIONES </t>
  </si>
  <si>
    <t xml:space="preserve">TASA DE CONTRIBUCION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</si>
</sst>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&quot;$&quot;\ #,##0.00;[Red]\-&quot;$&quot;\ #,##0.00"/>
    <numFmt numFmtId="165" formatCode="_-* #,##0_-;\-* #,##0_-;_-* &quot;-&quot;??_-;_-@_-"/>
    <numFmt numFmtId="166" formatCode="#,##0.00_);\-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6.95"/>
      <color indexed="8"/>
      <name val="Times New Roman"/>
      <family val="1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20" fillId="0" borderId="0" applyNumberFormat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16" fillId="0" borderId="0" xfId="43" applyFont="1" applyAlignment="1">
      <alignment vertical="center" wrapText="1"/>
    </xf>
    <xf numFmtId="0" fontId="16" fillId="0" borderId="0" xfId="43" applyFont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/>
    <xf numFmtId="43" fontId="0" fillId="0" borderId="0" xfId="1" applyFont="1"/>
    <xf numFmtId="165" fontId="0" fillId="0" borderId="0" xfId="1" applyNumberFormat="1" applyFont="1"/>
    <xf numFmtId="0" fontId="1" fillId="0" borderId="0" xfId="43" applyFont="1" applyAlignment="1">
      <alignment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43" applyFont="1"/>
    <xf numFmtId="0" fontId="0" fillId="0" borderId="0" xfId="0" applyNumberFormat="1" applyFill="1" applyBorder="1" applyAlignment="1" applyProtection="1"/>
    <xf numFmtId="166" fontId="19" fillId="0" borderId="0" xfId="0" applyNumberFormat="1" applyFont="1" applyAlignment="1">
      <alignment horizontal="right" vertical="center"/>
    </xf>
    <xf numFmtId="4" fontId="0" fillId="0" borderId="0" xfId="0" applyNumberFormat="1"/>
    <xf numFmtId="0" fontId="21" fillId="33" borderId="0" xfId="44" applyFont="1" applyFill="1" applyAlignment="1" applyProtection="1">
      <alignment horizontal="left" vertical="center" wrapText="1"/>
    </xf>
    <xf numFmtId="0" fontId="21" fillId="33" borderId="0" xfId="44" applyFont="1" applyFill="1" applyAlignment="1" applyProtection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0" fillId="35" borderId="0" xfId="0" applyFill="1"/>
    <xf numFmtId="4" fontId="0" fillId="35" borderId="0" xfId="0" applyNumberFormat="1" applyFill="1"/>
    <xf numFmtId="0" fontId="16" fillId="0" borderId="0" xfId="43" applyFont="1" applyAlignment="1">
      <alignment vertical="center"/>
    </xf>
    <xf numFmtId="0" fontId="16" fillId="0" borderId="0" xfId="43" applyFont="1" applyAlignment="1">
      <alignment horizontal="left" vertical="center"/>
    </xf>
    <xf numFmtId="49" fontId="0" fillId="0" borderId="0" xfId="0" applyNumberFormat="1" applyAlignment="1">
      <alignment horizontal="left"/>
    </xf>
    <xf numFmtId="49" fontId="22" fillId="34" borderId="10" xfId="0" applyNumberFormat="1" applyFont="1" applyFill="1" applyBorder="1" applyAlignment="1" applyProtection="1">
      <alignment vertical="center" wrapText="1"/>
      <protection locked="0"/>
    </xf>
    <xf numFmtId="0" fontId="22" fillId="34" borderId="10" xfId="0" applyNumberFormat="1" applyFont="1" applyFill="1" applyBorder="1" applyAlignment="1" applyProtection="1">
      <alignment vertical="center" wrapText="1"/>
      <protection locked="0"/>
    </xf>
    <xf numFmtId="49" fontId="22" fillId="0" borderId="10" xfId="0" applyNumberFormat="1" applyFont="1" applyFill="1" applyBorder="1" applyAlignment="1" applyProtection="1">
      <alignment vertical="center" wrapText="1"/>
      <protection locked="0"/>
    </xf>
    <xf numFmtId="0" fontId="22" fillId="0" borderId="10" xfId="0" applyNumberFormat="1" applyFont="1" applyFill="1" applyBorder="1" applyAlignment="1" applyProtection="1">
      <alignment vertical="center" wrapText="1"/>
      <protection locked="0"/>
    </xf>
    <xf numFmtId="49" fontId="23" fillId="36" borderId="10" xfId="0" applyNumberFormat="1" applyFont="1" applyFill="1" applyBorder="1" applyAlignment="1" applyProtection="1">
      <alignment horizontal="left" vertical="center"/>
    </xf>
    <xf numFmtId="43" fontId="23" fillId="36" borderId="10" xfId="1" applyFont="1" applyFill="1" applyBorder="1" applyAlignment="1" applyProtection="1">
      <alignment horizontal="left" vertical="center"/>
    </xf>
    <xf numFmtId="0" fontId="0" fillId="37" borderId="0" xfId="0" applyFill="1" applyAlignment="1">
      <alignment horizontal="left"/>
    </xf>
    <xf numFmtId="165" fontId="1" fillId="0" borderId="0" xfId="1" applyNumberFormat="1" applyFont="1" applyAlignment="1">
      <alignment horizontal="left"/>
    </xf>
    <xf numFmtId="0" fontId="2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49" fontId="22" fillId="0" borderId="0" xfId="0" applyNumberFormat="1" applyFont="1" applyFill="1" applyAlignment="1">
      <alignment horizontal="left"/>
    </xf>
    <xf numFmtId="49" fontId="22" fillId="0" borderId="0" xfId="0" applyNumberFormat="1" applyFont="1" applyAlignment="1">
      <alignment horizontal="left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rmal 3" xfId="43"/>
    <cellStyle name="Normal 4" xfId="44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tual_017" refreshedDate="45790.48001388889" createdVersion="5" refreshedVersion="5" minRefreshableVersion="3" recordCount="33">
  <cacheSource type="worksheet">
    <worksheetSource ref="A1:J34" sheet="1008 hoja trabajo "/>
  </cacheSource>
  <cacheFields count="10">
    <cacheField name="Auxiliar" numFmtId="0">
      <sharedItems containsSemiMixedTypes="0" containsString="0" containsNumber="1" containsInteger="1" minValue="16150501" maxValue="16602002" count="6">
        <n v="16150501"/>
        <n v="16301501"/>
        <n v="16309501"/>
        <n v="16500501"/>
        <n v="16551001"/>
        <n v="16602002"/>
      </sharedItems>
    </cacheField>
    <cacheField name="Cliente" numFmtId="0">
      <sharedItems containsSemiMixedTypes="0" containsString="0" containsNumber="1" containsInteger="1" minValue="12979678" maxValue="1113634646" count="27">
        <n v="814006009"/>
        <n v="814006325"/>
        <n v="900057647"/>
        <n v="900062612"/>
        <n v="900077584"/>
        <n v="901021565"/>
        <n v="900562602"/>
        <n v="1080690236"/>
        <n v="1085254570"/>
        <n v="1113634646"/>
        <n v="12979678"/>
        <n v="16738238"/>
        <n v="59314743"/>
        <n v="59678077"/>
        <n v="900163149"/>
        <n v="98388842"/>
        <n v="800226175"/>
        <n v="800251440"/>
        <n v="900156264"/>
        <n v="1085288640"/>
        <n v="66981872"/>
        <n v="98388779"/>
        <n v="860034313"/>
        <n v="890980727"/>
        <n v="900006037"/>
        <n v="900959051"/>
        <n v="900971006"/>
      </sharedItems>
    </cacheField>
    <cacheField name="Sucursal" numFmtId="0">
      <sharedItems containsSemiMixedTypes="0" containsString="0" containsNumber="1" containsInteger="1" minValue="1" maxValue="1"/>
    </cacheField>
    <cacheField name="Razón social sucursal" numFmtId="0">
      <sharedItems count="27">
        <s v="INSTITUTO CANCEROLOGICO DE NARIÑO LIMITA"/>
        <s v="FUNDACION MAS INNOVACION, MAS SOCIAL"/>
        <s v="COOPERATIVA MULTIACTIVA DE EMPLEADOS DE"/>
        <s v="COOPERATIVA EMSSANAR SERVICIO FARMACEUTI"/>
        <s v="COOPERATIVA DE SERVICIOS INTEGRALES DE S"/>
        <s v="EMSSANAR SOCIEDAD POR ACCIONES SIMPLIFIC"/>
        <s v="SITI SOLUCIONES SAS"/>
        <s v="DIEGO ARMANDO SOLARTE CHAVEZ"/>
        <s v="ORTEGA PALACIOS ADRIANA CAROLINA"/>
        <s v="CEDEÑO GUTIERREZ DIEGO FERNANDO"/>
        <s v="AUGUSTO NATIVEL RIVERA PABON"/>
        <s v="CARDENAS HENAO JOSE LEONARDO"/>
        <s v="CORAL BENITEZ MIRYAN ALICIA"/>
        <s v="TACURI RIVAS DIANA CATALINA"/>
        <s v="SP SISTEMAS PALACIOS LTDA"/>
        <s v="MENESES RIVADENEIRA WILLIAN ANDRES"/>
        <s v="COLMENA RIESGOS PROFESIONALES"/>
        <s v="EPS SANITAS S.A.S"/>
        <s v="NUEVA EPS S.A"/>
        <s v="CUARAN ORTIZ CUARAN ORTIZ CRISTIAN JHONA"/>
        <s v="PIEDRAHITA PINEDA MONICA"/>
        <s v="PEREZ RIVERA WILLINTONG RAMIRO"/>
        <s v="BANCO DAVIVIENDA S.A"/>
        <s v="ESE HOSPITAL SAN RAFAEL GIRARDOTA"/>
        <s v="ESE HOSPITAL UNIVERSITARIO DE SANTANDER"/>
        <s v="SUBRED INTEGRADA DE SERVICIOS DE SALUD C"/>
        <s v="SUBREDINTEGRADA DE SERVICIOS DE SALUD NO"/>
      </sharedItems>
    </cacheField>
    <cacheField name="Barrio" numFmtId="0">
      <sharedItems containsBlank="1"/>
    </cacheField>
    <cacheField name="Dirección 1" numFmtId="0">
      <sharedItems count="26">
        <s v="AV PANAMERICANA CR 40 A 19 B 55"/>
        <s v="CR 32 12 19"/>
        <s v="CL 11D 31 10"/>
        <s v="CLL 11 A 33 ESQ"/>
        <s v="CR 29 12 A 15 BRR SAN IGNACIO"/>
        <s v="C L 18 28 16 CEN OF 202"/>
        <s v="CR 19 25 45 BRR ALAMEDA"/>
        <s v="COND. ACHALAY MZ F CA 4"/>
        <s v="CL 2. 6689 APTO 401"/>
        <s v="CR 1 21 35 BRR LAS MERCEDES"/>
        <s v="TV 25B  25 36"/>
        <s v="CALLE 6 NO. 21A-10 CASA BELLA"/>
        <s v="CALLE 1 OESTE"/>
        <s v="CL 2 22 75 BRR BACHUE"/>
        <s v="CR 18 12 13 AV BOYACA"/>
        <s v="AV CL 26 69C 03 PISOS 5 6"/>
        <s v="AUTOPISTA NORTE 124 02"/>
        <s v="CARRERA 85 CL 46 A 66"/>
        <s v="Cl 12 D  4A 03"/>
        <s v="CR 42 A  14C - 07"/>
        <s v="MZ H CASA 6 LA LOMITA"/>
        <s v="AV EL DORADO No 68B 85"/>
        <s v="CR 16 11 01"/>
        <s v="CRA 33 28 126"/>
        <s v="DIAGONAL 24 5 43"/>
        <s v="CRA 6A No 19B 14"/>
      </sharedItems>
    </cacheField>
    <cacheField name="Cod. Pais" numFmtId="0">
      <sharedItems containsSemiMixedTypes="0" containsString="0" containsNumber="1" containsInteger="1" minValue="169" maxValue="169" count="1">
        <n v="169"/>
      </sharedItems>
    </cacheField>
    <cacheField name="Cod. Depto." numFmtId="0">
      <sharedItems containsSemiMixedTypes="0" containsString="0" containsNumber="1" containsInteger="1" minValue="16905" maxValue="16976" count="5">
        <n v="16952"/>
        <n v="16976"/>
        <n v="16911"/>
        <n v="16905"/>
        <n v="16968"/>
      </sharedItems>
    </cacheField>
    <cacheField name="Cod. Ciudad" numFmtId="0">
      <sharedItems containsSemiMixedTypes="0" containsString="0" containsNumber="1" containsInteger="1" minValue="16905308" maxValue="16976001" count="5">
        <n v="16952001"/>
        <n v="16976001"/>
        <n v="16911001"/>
        <n v="16905308"/>
        <n v="16968001"/>
      </sharedItems>
    </cacheField>
    <cacheField name="Total COP" numFmtId="4">
      <sharedItems containsSemiMixedTypes="0" containsString="0" containsNumber="1" minValue="135902" maxValue="7589171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">
  <r>
    <x v="0"/>
    <x v="0"/>
    <n v="1"/>
    <x v="0"/>
    <m/>
    <x v="0"/>
    <x v="0"/>
    <x v="0"/>
    <x v="0"/>
    <n v="3379840"/>
  </r>
  <r>
    <x v="0"/>
    <x v="1"/>
    <n v="1"/>
    <x v="1"/>
    <s v="SAN IGNACIO"/>
    <x v="1"/>
    <x v="0"/>
    <x v="0"/>
    <x v="0"/>
    <n v="3976500"/>
  </r>
  <r>
    <x v="0"/>
    <x v="2"/>
    <n v="1"/>
    <x v="2"/>
    <s v="MUNICIPAL"/>
    <x v="2"/>
    <x v="0"/>
    <x v="1"/>
    <x v="1"/>
    <n v="57219718"/>
  </r>
  <r>
    <x v="0"/>
    <x v="3"/>
    <n v="1"/>
    <x v="3"/>
    <s v="LA AURORA"/>
    <x v="3"/>
    <x v="0"/>
    <x v="0"/>
    <x v="0"/>
    <n v="149255912"/>
  </r>
  <r>
    <x v="0"/>
    <x v="4"/>
    <n v="1"/>
    <x v="4"/>
    <m/>
    <x v="4"/>
    <x v="0"/>
    <x v="0"/>
    <x v="0"/>
    <n v="292154792.80000001"/>
  </r>
  <r>
    <x v="0"/>
    <x v="5"/>
    <n v="1"/>
    <x v="5"/>
    <s v="LA AURORA"/>
    <x v="3"/>
    <x v="0"/>
    <x v="0"/>
    <x v="0"/>
    <n v="758917190"/>
  </r>
  <r>
    <x v="1"/>
    <x v="6"/>
    <n v="1"/>
    <x v="6"/>
    <s v="CENTRO"/>
    <x v="5"/>
    <x v="0"/>
    <x v="0"/>
    <x v="0"/>
    <n v="2117100"/>
  </r>
  <r>
    <x v="2"/>
    <x v="7"/>
    <n v="1"/>
    <x v="7"/>
    <s v="ALAMEDA I"/>
    <x v="6"/>
    <x v="0"/>
    <x v="0"/>
    <x v="0"/>
    <n v="600000"/>
  </r>
  <r>
    <x v="2"/>
    <x v="8"/>
    <n v="1"/>
    <x v="8"/>
    <m/>
    <x v="7"/>
    <x v="0"/>
    <x v="0"/>
    <x v="0"/>
    <n v="9000000"/>
  </r>
  <r>
    <x v="2"/>
    <x v="9"/>
    <n v="1"/>
    <x v="9"/>
    <s v="EL REFUGIO"/>
    <x v="8"/>
    <x v="0"/>
    <x v="1"/>
    <x v="1"/>
    <n v="9000000"/>
  </r>
  <r>
    <x v="2"/>
    <x v="10"/>
    <n v="1"/>
    <x v="10"/>
    <m/>
    <x v="9"/>
    <x v="0"/>
    <x v="0"/>
    <x v="0"/>
    <n v="8730000"/>
  </r>
  <r>
    <x v="2"/>
    <x v="11"/>
    <n v="1"/>
    <x v="11"/>
    <m/>
    <x v="10"/>
    <x v="0"/>
    <x v="1"/>
    <x v="1"/>
    <n v="32000000"/>
  </r>
  <r>
    <x v="2"/>
    <x v="12"/>
    <n v="1"/>
    <x v="12"/>
    <m/>
    <x v="11"/>
    <x v="0"/>
    <x v="0"/>
    <x v="0"/>
    <n v="6934722"/>
  </r>
  <r>
    <x v="2"/>
    <x v="13"/>
    <n v="1"/>
    <x v="13"/>
    <m/>
    <x v="12"/>
    <x v="0"/>
    <x v="1"/>
    <x v="1"/>
    <n v="32500000"/>
  </r>
  <r>
    <x v="2"/>
    <x v="14"/>
    <n v="1"/>
    <x v="14"/>
    <m/>
    <x v="13"/>
    <x v="0"/>
    <x v="0"/>
    <x v="0"/>
    <n v="160650"/>
  </r>
  <r>
    <x v="2"/>
    <x v="15"/>
    <n v="1"/>
    <x v="15"/>
    <s v="AVENIDA BOYACA"/>
    <x v="14"/>
    <x v="0"/>
    <x v="0"/>
    <x v="0"/>
    <n v="9227493"/>
  </r>
  <r>
    <x v="3"/>
    <x v="16"/>
    <n v="1"/>
    <x v="16"/>
    <m/>
    <x v="15"/>
    <x v="0"/>
    <x v="2"/>
    <x v="2"/>
    <n v="4525097"/>
  </r>
  <r>
    <x v="3"/>
    <x v="17"/>
    <n v="1"/>
    <x v="17"/>
    <m/>
    <x v="16"/>
    <x v="0"/>
    <x v="2"/>
    <x v="2"/>
    <n v="2840573"/>
  </r>
  <r>
    <x v="3"/>
    <x v="18"/>
    <n v="1"/>
    <x v="18"/>
    <m/>
    <x v="17"/>
    <x v="0"/>
    <x v="2"/>
    <x v="2"/>
    <n v="1088527"/>
  </r>
  <r>
    <x v="3"/>
    <x v="5"/>
    <n v="1"/>
    <x v="5"/>
    <s v="LA AURORA"/>
    <x v="3"/>
    <x v="0"/>
    <x v="0"/>
    <x v="0"/>
    <n v="11740771"/>
  </r>
  <r>
    <x v="4"/>
    <x v="19"/>
    <n v="1"/>
    <x v="19"/>
    <m/>
    <x v="18"/>
    <x v="0"/>
    <x v="0"/>
    <x v="0"/>
    <n v="560000"/>
  </r>
  <r>
    <x v="4"/>
    <x v="20"/>
    <n v="1"/>
    <x v="20"/>
    <m/>
    <x v="19"/>
    <x v="0"/>
    <x v="1"/>
    <x v="1"/>
    <n v="1853738"/>
  </r>
  <r>
    <x v="4"/>
    <x v="21"/>
    <n v="1"/>
    <x v="21"/>
    <m/>
    <x v="20"/>
    <x v="0"/>
    <x v="0"/>
    <x v="0"/>
    <n v="2227257"/>
  </r>
  <r>
    <x v="5"/>
    <x v="10"/>
    <n v="1"/>
    <x v="10"/>
    <m/>
    <x v="9"/>
    <x v="0"/>
    <x v="0"/>
    <x v="0"/>
    <n v="2350000"/>
  </r>
  <r>
    <x v="5"/>
    <x v="0"/>
    <n v="1"/>
    <x v="0"/>
    <m/>
    <x v="0"/>
    <x v="0"/>
    <x v="0"/>
    <x v="0"/>
    <n v="135902"/>
  </r>
  <r>
    <x v="5"/>
    <x v="22"/>
    <n v="1"/>
    <x v="22"/>
    <s v="CENTRO"/>
    <x v="21"/>
    <x v="0"/>
    <x v="2"/>
    <x v="2"/>
    <n v="4635766.82"/>
  </r>
  <r>
    <x v="5"/>
    <x v="23"/>
    <n v="1"/>
    <x v="23"/>
    <m/>
    <x v="22"/>
    <x v="0"/>
    <x v="3"/>
    <x v="3"/>
    <n v="1912724"/>
  </r>
  <r>
    <x v="5"/>
    <x v="24"/>
    <n v="1"/>
    <x v="24"/>
    <m/>
    <x v="23"/>
    <x v="0"/>
    <x v="4"/>
    <x v="4"/>
    <n v="40755712"/>
  </r>
  <r>
    <x v="5"/>
    <x v="2"/>
    <n v="1"/>
    <x v="2"/>
    <s v="MUNICIPAL"/>
    <x v="2"/>
    <x v="0"/>
    <x v="1"/>
    <x v="1"/>
    <n v="24484307"/>
  </r>
  <r>
    <x v="5"/>
    <x v="3"/>
    <n v="1"/>
    <x v="3"/>
    <s v="LA AURORA"/>
    <x v="3"/>
    <x v="0"/>
    <x v="0"/>
    <x v="0"/>
    <n v="4350098"/>
  </r>
  <r>
    <x v="5"/>
    <x v="25"/>
    <n v="1"/>
    <x v="25"/>
    <m/>
    <x v="24"/>
    <x v="0"/>
    <x v="2"/>
    <x v="2"/>
    <n v="23447101"/>
  </r>
  <r>
    <x v="5"/>
    <x v="26"/>
    <n v="1"/>
    <x v="26"/>
    <m/>
    <x v="25"/>
    <x v="0"/>
    <x v="2"/>
    <x v="2"/>
    <n v="3097387"/>
  </r>
  <r>
    <x v="5"/>
    <x v="5"/>
    <n v="1"/>
    <x v="5"/>
    <s v="LA AURORA"/>
    <x v="3"/>
    <x v="0"/>
    <x v="0"/>
    <x v="0"/>
    <n v="17647839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compact="0" compactData="0" gridDropZones="1" multipleFieldFilters="0">
  <location ref="A3:H209" firstHeaderRow="2" firstDataRow="2" firstDataCol="7"/>
  <pivotFields count="10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>
      <items count="28">
        <item x="10"/>
        <item x="11"/>
        <item x="12"/>
        <item x="13"/>
        <item x="20"/>
        <item x="21"/>
        <item x="15"/>
        <item x="16"/>
        <item x="17"/>
        <item x="0"/>
        <item x="1"/>
        <item x="22"/>
        <item x="23"/>
        <item x="24"/>
        <item x="2"/>
        <item x="3"/>
        <item x="4"/>
        <item x="18"/>
        <item x="14"/>
        <item x="6"/>
        <item x="25"/>
        <item x="26"/>
        <item x="5"/>
        <item x="7"/>
        <item x="8"/>
        <item x="19"/>
        <item x="9"/>
        <item t="default"/>
      </items>
    </pivotField>
    <pivotField compact="0" outline="0" showAll="0"/>
    <pivotField axis="axisRow" compact="0" outline="0" showAll="0">
      <items count="28">
        <item x="10"/>
        <item x="22"/>
        <item x="11"/>
        <item x="9"/>
        <item x="16"/>
        <item x="4"/>
        <item x="3"/>
        <item x="2"/>
        <item x="12"/>
        <item x="19"/>
        <item x="7"/>
        <item x="5"/>
        <item x="17"/>
        <item x="23"/>
        <item x="24"/>
        <item x="1"/>
        <item x="0"/>
        <item x="15"/>
        <item x="18"/>
        <item x="8"/>
        <item x="21"/>
        <item x="20"/>
        <item x="6"/>
        <item x="14"/>
        <item x="25"/>
        <item x="26"/>
        <item x="13"/>
        <item t="default"/>
      </items>
    </pivotField>
    <pivotField compact="0" outline="0" showAll="0"/>
    <pivotField axis="axisRow" compact="0" outline="0" showAll="0">
      <items count="27">
        <item x="16"/>
        <item x="15"/>
        <item x="21"/>
        <item x="0"/>
        <item x="5"/>
        <item x="12"/>
        <item x="11"/>
        <item x="17"/>
        <item x="2"/>
        <item x="18"/>
        <item x="13"/>
        <item x="8"/>
        <item x="3"/>
        <item x="7"/>
        <item x="9"/>
        <item x="22"/>
        <item x="14"/>
        <item x="6"/>
        <item x="4"/>
        <item x="1"/>
        <item x="19"/>
        <item x="23"/>
        <item x="25"/>
        <item x="24"/>
        <item x="20"/>
        <item x="10"/>
        <item t="default"/>
      </items>
    </pivotField>
    <pivotField axis="axisRow" compact="0" outline="0" showAll="0">
      <items count="2">
        <item x="0"/>
        <item t="default"/>
      </items>
    </pivotField>
    <pivotField axis="axisRow" compact="0" outline="0" showAll="0">
      <items count="6">
        <item x="3"/>
        <item x="2"/>
        <item x="0"/>
        <item x="4"/>
        <item x="1"/>
        <item t="default"/>
      </items>
    </pivotField>
    <pivotField axis="axisRow" compact="0" outline="0" showAll="0">
      <items count="6">
        <item x="3"/>
        <item x="2"/>
        <item x="0"/>
        <item x="4"/>
        <item x="1"/>
        <item t="default"/>
      </items>
    </pivotField>
    <pivotField dataField="1" compact="0" numFmtId="4" outline="0" showAll="0"/>
  </pivotFields>
  <rowFields count="7">
    <field x="0"/>
    <field x="1"/>
    <field x="3"/>
    <field x="5"/>
    <field x="6"/>
    <field x="7"/>
    <field x="8"/>
  </rowFields>
  <rowItems count="205">
    <i>
      <x/>
      <x v="9"/>
      <x v="16"/>
      <x v="3"/>
      <x/>
      <x v="2"/>
      <x v="2"/>
    </i>
    <i t="default" r="5">
      <x v="2"/>
    </i>
    <i t="default" r="4">
      <x/>
    </i>
    <i t="default" r="3">
      <x v="3"/>
    </i>
    <i t="default" r="2">
      <x v="16"/>
    </i>
    <i t="default" r="1">
      <x v="9"/>
    </i>
    <i r="1">
      <x v="10"/>
      <x v="15"/>
      <x v="19"/>
      <x/>
      <x v="2"/>
      <x v="2"/>
    </i>
    <i t="default" r="5">
      <x v="2"/>
    </i>
    <i t="default" r="4">
      <x/>
    </i>
    <i t="default" r="3">
      <x v="19"/>
    </i>
    <i t="default" r="2">
      <x v="15"/>
    </i>
    <i t="default" r="1">
      <x v="10"/>
    </i>
    <i r="1">
      <x v="14"/>
      <x v="7"/>
      <x v="8"/>
      <x/>
      <x v="4"/>
      <x v="4"/>
    </i>
    <i t="default" r="5">
      <x v="4"/>
    </i>
    <i t="default" r="4">
      <x/>
    </i>
    <i t="default" r="3">
      <x v="8"/>
    </i>
    <i t="default" r="2">
      <x v="7"/>
    </i>
    <i t="default" r="1">
      <x v="14"/>
    </i>
    <i r="1">
      <x v="15"/>
      <x v="6"/>
      <x v="12"/>
      <x/>
      <x v="2"/>
      <x v="2"/>
    </i>
    <i t="default" r="5">
      <x v="2"/>
    </i>
    <i t="default" r="4">
      <x/>
    </i>
    <i t="default" r="3">
      <x v="12"/>
    </i>
    <i t="default" r="2">
      <x v="6"/>
    </i>
    <i t="default" r="1">
      <x v="15"/>
    </i>
    <i r="1">
      <x v="16"/>
      <x v="5"/>
      <x v="18"/>
      <x/>
      <x v="2"/>
      <x v="2"/>
    </i>
    <i t="default" r="5">
      <x v="2"/>
    </i>
    <i t="default" r="4">
      <x/>
    </i>
    <i t="default" r="3">
      <x v="18"/>
    </i>
    <i t="default" r="2">
      <x v="5"/>
    </i>
    <i t="default" r="1">
      <x v="16"/>
    </i>
    <i r="1">
      <x v="22"/>
      <x v="11"/>
      <x v="12"/>
      <x/>
      <x v="2"/>
      <x v="2"/>
    </i>
    <i t="default" r="5">
      <x v="2"/>
    </i>
    <i t="default" r="4">
      <x/>
    </i>
    <i t="default" r="3">
      <x v="12"/>
    </i>
    <i t="default" r="2">
      <x v="11"/>
    </i>
    <i t="default" r="1">
      <x v="22"/>
    </i>
    <i t="default">
      <x/>
    </i>
    <i>
      <x v="1"/>
      <x v="19"/>
      <x v="22"/>
      <x v="4"/>
      <x/>
      <x v="2"/>
      <x v="2"/>
    </i>
    <i t="default" r="5">
      <x v="2"/>
    </i>
    <i t="default" r="4">
      <x/>
    </i>
    <i t="default" r="3">
      <x v="4"/>
    </i>
    <i t="default" r="2">
      <x v="22"/>
    </i>
    <i t="default" r="1">
      <x v="19"/>
    </i>
    <i t="default">
      <x v="1"/>
    </i>
    <i>
      <x v="2"/>
      <x/>
      <x/>
      <x v="14"/>
      <x/>
      <x v="2"/>
      <x v="2"/>
    </i>
    <i t="default" r="5">
      <x v="2"/>
    </i>
    <i t="default" r="4">
      <x/>
    </i>
    <i t="default" r="3">
      <x v="14"/>
    </i>
    <i t="default" r="2">
      <x/>
    </i>
    <i t="default" r="1">
      <x/>
    </i>
    <i r="1">
      <x v="1"/>
      <x v="2"/>
      <x v="25"/>
      <x/>
      <x v="4"/>
      <x v="4"/>
    </i>
    <i t="default" r="5">
      <x v="4"/>
    </i>
    <i t="default" r="4">
      <x/>
    </i>
    <i t="default" r="3">
      <x v="25"/>
    </i>
    <i t="default" r="2">
      <x v="2"/>
    </i>
    <i t="default" r="1">
      <x v="1"/>
    </i>
    <i r="1">
      <x v="2"/>
      <x v="8"/>
      <x v="6"/>
      <x/>
      <x v="2"/>
      <x v="2"/>
    </i>
    <i t="default" r="5">
      <x v="2"/>
    </i>
    <i t="default" r="4">
      <x/>
    </i>
    <i t="default" r="3">
      <x v="6"/>
    </i>
    <i t="default" r="2">
      <x v="8"/>
    </i>
    <i t="default" r="1">
      <x v="2"/>
    </i>
    <i r="1">
      <x v="3"/>
      <x v="26"/>
      <x v="5"/>
      <x/>
      <x v="4"/>
      <x v="4"/>
    </i>
    <i t="default" r="5">
      <x v="4"/>
    </i>
    <i t="default" r="4">
      <x/>
    </i>
    <i t="default" r="3">
      <x v="5"/>
    </i>
    <i t="default" r="2">
      <x v="26"/>
    </i>
    <i t="default" r="1">
      <x v="3"/>
    </i>
    <i r="1">
      <x v="6"/>
      <x v="17"/>
      <x v="16"/>
      <x/>
      <x v="2"/>
      <x v="2"/>
    </i>
    <i t="default" r="5">
      <x v="2"/>
    </i>
    <i t="default" r="4">
      <x/>
    </i>
    <i t="default" r="3">
      <x v="16"/>
    </i>
    <i t="default" r="2">
      <x v="17"/>
    </i>
    <i t="default" r="1">
      <x v="6"/>
    </i>
    <i r="1">
      <x v="18"/>
      <x v="23"/>
      <x v="10"/>
      <x/>
      <x v="2"/>
      <x v="2"/>
    </i>
    <i t="default" r="5">
      <x v="2"/>
    </i>
    <i t="default" r="4">
      <x/>
    </i>
    <i t="default" r="3">
      <x v="10"/>
    </i>
    <i t="default" r="2">
      <x v="23"/>
    </i>
    <i t="default" r="1">
      <x v="18"/>
    </i>
    <i r="1">
      <x v="23"/>
      <x v="10"/>
      <x v="17"/>
      <x/>
      <x v="2"/>
      <x v="2"/>
    </i>
    <i t="default" r="5">
      <x v="2"/>
    </i>
    <i t="default" r="4">
      <x/>
    </i>
    <i t="default" r="3">
      <x v="17"/>
    </i>
    <i t="default" r="2">
      <x v="10"/>
    </i>
    <i t="default" r="1">
      <x v="23"/>
    </i>
    <i r="1">
      <x v="24"/>
      <x v="19"/>
      <x v="13"/>
      <x/>
      <x v="2"/>
      <x v="2"/>
    </i>
    <i t="default" r="5">
      <x v="2"/>
    </i>
    <i t="default" r="4">
      <x/>
    </i>
    <i t="default" r="3">
      <x v="13"/>
    </i>
    <i t="default" r="2">
      <x v="19"/>
    </i>
    <i t="default" r="1">
      <x v="24"/>
    </i>
    <i r="1">
      <x v="26"/>
      <x v="3"/>
      <x v="11"/>
      <x/>
      <x v="4"/>
      <x v="4"/>
    </i>
    <i t="default" r="5">
      <x v="4"/>
    </i>
    <i t="default" r="4">
      <x/>
    </i>
    <i t="default" r="3">
      <x v="11"/>
    </i>
    <i t="default" r="2">
      <x v="3"/>
    </i>
    <i t="default" r="1">
      <x v="26"/>
    </i>
    <i t="default">
      <x v="2"/>
    </i>
    <i>
      <x v="3"/>
      <x v="7"/>
      <x v="4"/>
      <x v="1"/>
      <x/>
      <x v="1"/>
      <x v="1"/>
    </i>
    <i t="default" r="5">
      <x v="1"/>
    </i>
    <i t="default" r="4">
      <x/>
    </i>
    <i t="default" r="3">
      <x v="1"/>
    </i>
    <i t="default" r="2">
      <x v="4"/>
    </i>
    <i t="default" r="1">
      <x v="7"/>
    </i>
    <i r="1">
      <x v="8"/>
      <x v="12"/>
      <x/>
      <x/>
      <x v="1"/>
      <x v="1"/>
    </i>
    <i t="default" r="5">
      <x v="1"/>
    </i>
    <i t="default" r="4">
      <x/>
    </i>
    <i t="default" r="3">
      <x/>
    </i>
    <i t="default" r="2">
      <x v="12"/>
    </i>
    <i t="default" r="1">
      <x v="8"/>
    </i>
    <i r="1">
      <x v="17"/>
      <x v="18"/>
      <x v="7"/>
      <x/>
      <x v="1"/>
      <x v="1"/>
    </i>
    <i t="default" r="5">
      <x v="1"/>
    </i>
    <i t="default" r="4">
      <x/>
    </i>
    <i t="default" r="3">
      <x v="7"/>
    </i>
    <i t="default" r="2">
      <x v="18"/>
    </i>
    <i t="default" r="1">
      <x v="17"/>
    </i>
    <i r="1">
      <x v="22"/>
      <x v="11"/>
      <x v="12"/>
      <x/>
      <x v="2"/>
      <x v="2"/>
    </i>
    <i t="default" r="5">
      <x v="2"/>
    </i>
    <i t="default" r="4">
      <x/>
    </i>
    <i t="default" r="3">
      <x v="12"/>
    </i>
    <i t="default" r="2">
      <x v="11"/>
    </i>
    <i t="default" r="1">
      <x v="22"/>
    </i>
    <i t="default">
      <x v="3"/>
    </i>
    <i>
      <x v="4"/>
      <x v="4"/>
      <x v="21"/>
      <x v="20"/>
      <x/>
      <x v="4"/>
      <x v="4"/>
    </i>
    <i t="default" r="5">
      <x v="4"/>
    </i>
    <i t="default" r="4">
      <x/>
    </i>
    <i t="default" r="3">
      <x v="20"/>
    </i>
    <i t="default" r="2">
      <x v="21"/>
    </i>
    <i t="default" r="1">
      <x v="4"/>
    </i>
    <i r="1">
      <x v="5"/>
      <x v="20"/>
      <x v="24"/>
      <x/>
      <x v="2"/>
      <x v="2"/>
    </i>
    <i t="default" r="5">
      <x v="2"/>
    </i>
    <i t="default" r="4">
      <x/>
    </i>
    <i t="default" r="3">
      <x v="24"/>
    </i>
    <i t="default" r="2">
      <x v="20"/>
    </i>
    <i t="default" r="1">
      <x v="5"/>
    </i>
    <i r="1">
      <x v="25"/>
      <x v="9"/>
      <x v="9"/>
      <x/>
      <x v="2"/>
      <x v="2"/>
    </i>
    <i t="default" r="5">
      <x v="2"/>
    </i>
    <i t="default" r="4">
      <x/>
    </i>
    <i t="default" r="3">
      <x v="9"/>
    </i>
    <i t="default" r="2">
      <x v="9"/>
    </i>
    <i t="default" r="1">
      <x v="25"/>
    </i>
    <i t="default">
      <x v="4"/>
    </i>
    <i>
      <x v="5"/>
      <x/>
      <x/>
      <x v="14"/>
      <x/>
      <x v="2"/>
      <x v="2"/>
    </i>
    <i t="default" r="5">
      <x v="2"/>
    </i>
    <i t="default" r="4">
      <x/>
    </i>
    <i t="default" r="3">
      <x v="14"/>
    </i>
    <i t="default" r="2">
      <x/>
    </i>
    <i t="default" r="1">
      <x/>
    </i>
    <i r="1">
      <x v="9"/>
      <x v="16"/>
      <x v="3"/>
      <x/>
      <x v="2"/>
      <x v="2"/>
    </i>
    <i t="default" r="5">
      <x v="2"/>
    </i>
    <i t="default" r="4">
      <x/>
    </i>
    <i t="default" r="3">
      <x v="3"/>
    </i>
    <i t="default" r="2">
      <x v="16"/>
    </i>
    <i t="default" r="1">
      <x v="9"/>
    </i>
    <i r="1">
      <x v="11"/>
      <x v="1"/>
      <x v="2"/>
      <x/>
      <x v="1"/>
      <x v="1"/>
    </i>
    <i t="default" r="5">
      <x v="1"/>
    </i>
    <i t="default" r="4">
      <x/>
    </i>
    <i t="default" r="3">
      <x v="2"/>
    </i>
    <i t="default" r="2">
      <x v="1"/>
    </i>
    <i t="default" r="1">
      <x v="11"/>
    </i>
    <i r="1">
      <x v="12"/>
      <x v="13"/>
      <x v="15"/>
      <x/>
      <x/>
      <x/>
    </i>
    <i t="default" r="5">
      <x/>
    </i>
    <i t="default" r="4">
      <x/>
    </i>
    <i t="default" r="3">
      <x v="15"/>
    </i>
    <i t="default" r="2">
      <x v="13"/>
    </i>
    <i t="default" r="1">
      <x v="12"/>
    </i>
    <i r="1">
      <x v="13"/>
      <x v="14"/>
      <x v="21"/>
      <x/>
      <x v="3"/>
      <x v="3"/>
    </i>
    <i t="default" r="5">
      <x v="3"/>
    </i>
    <i t="default" r="4">
      <x/>
    </i>
    <i t="default" r="3">
      <x v="21"/>
    </i>
    <i t="default" r="2">
      <x v="14"/>
    </i>
    <i t="default" r="1">
      <x v="13"/>
    </i>
    <i r="1">
      <x v="14"/>
      <x v="7"/>
      <x v="8"/>
      <x/>
      <x v="4"/>
      <x v="4"/>
    </i>
    <i t="default" r="5">
      <x v="4"/>
    </i>
    <i t="default" r="4">
      <x/>
    </i>
    <i t="default" r="3">
      <x v="8"/>
    </i>
    <i t="default" r="2">
      <x v="7"/>
    </i>
    <i t="default" r="1">
      <x v="14"/>
    </i>
    <i r="1">
      <x v="15"/>
      <x v="6"/>
      <x v="12"/>
      <x/>
      <x v="2"/>
      <x v="2"/>
    </i>
    <i t="default" r="5">
      <x v="2"/>
    </i>
    <i t="default" r="4">
      <x/>
    </i>
    <i t="default" r="3">
      <x v="12"/>
    </i>
    <i t="default" r="2">
      <x v="6"/>
    </i>
    <i t="default" r="1">
      <x v="15"/>
    </i>
    <i r="1">
      <x v="20"/>
      <x v="24"/>
      <x v="23"/>
      <x/>
      <x v="1"/>
      <x v="1"/>
    </i>
    <i t="default" r="5">
      <x v="1"/>
    </i>
    <i t="default" r="4">
      <x/>
    </i>
    <i t="default" r="3">
      <x v="23"/>
    </i>
    <i t="default" r="2">
      <x v="24"/>
    </i>
    <i t="default" r="1">
      <x v="20"/>
    </i>
    <i r="1">
      <x v="21"/>
      <x v="25"/>
      <x v="22"/>
      <x/>
      <x v="1"/>
      <x v="1"/>
    </i>
    <i t="default" r="5">
      <x v="1"/>
    </i>
    <i t="default" r="4">
      <x/>
    </i>
    <i t="default" r="3">
      <x v="22"/>
    </i>
    <i t="default" r="2">
      <x v="25"/>
    </i>
    <i t="default" r="1">
      <x v="21"/>
    </i>
    <i r="1">
      <x v="22"/>
      <x v="11"/>
      <x v="12"/>
      <x/>
      <x v="2"/>
      <x v="2"/>
    </i>
    <i t="default" r="5">
      <x v="2"/>
    </i>
    <i t="default" r="4">
      <x/>
    </i>
    <i t="default" r="3">
      <x v="12"/>
    </i>
    <i t="default" r="2">
      <x v="11"/>
    </i>
    <i t="default" r="1">
      <x v="22"/>
    </i>
    <i t="default">
      <x v="5"/>
    </i>
    <i t="grand">
      <x/>
    </i>
  </rowItems>
  <colItems count="1">
    <i/>
  </colItems>
  <dataFields count="1">
    <dataField name="Suma de Total COP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68"/>
  <sheetViews>
    <sheetView topLeftCell="A40" workbookViewId="0">
      <selection activeCell="E33" sqref="E33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1085329559</v>
      </c>
      <c r="C2">
        <v>1085329559</v>
      </c>
      <c r="D2" t="s">
        <v>14</v>
      </c>
      <c r="E2" t="s">
        <v>15</v>
      </c>
      <c r="F2" s="1">
        <v>0</v>
      </c>
      <c r="G2" s="1">
        <v>13333</v>
      </c>
      <c r="H2" s="1">
        <v>-13333</v>
      </c>
      <c r="I2" t="s">
        <v>16</v>
      </c>
      <c r="J2">
        <v>52</v>
      </c>
      <c r="K2">
        <v>52</v>
      </c>
      <c r="M2">
        <v>1</v>
      </c>
    </row>
    <row r="3" spans="1:13" x14ac:dyDescent="0.25">
      <c r="A3" t="s">
        <v>17</v>
      </c>
      <c r="B3">
        <v>900062612</v>
      </c>
      <c r="C3">
        <v>800197268</v>
      </c>
      <c r="D3" t="s">
        <v>18</v>
      </c>
      <c r="E3" t="s">
        <v>19</v>
      </c>
      <c r="F3" s="1">
        <v>0</v>
      </c>
      <c r="G3" s="1">
        <v>695059</v>
      </c>
      <c r="H3" s="1">
        <v>-695059</v>
      </c>
      <c r="I3" t="s">
        <v>20</v>
      </c>
      <c r="J3">
        <v>52</v>
      </c>
      <c r="K3">
        <v>52</v>
      </c>
      <c r="M3">
        <v>1</v>
      </c>
    </row>
    <row r="4" spans="1:13" x14ac:dyDescent="0.25">
      <c r="A4" t="s">
        <v>17</v>
      </c>
      <c r="B4">
        <v>900077584</v>
      </c>
      <c r="C4">
        <v>800197268</v>
      </c>
      <c r="D4" t="s">
        <v>21</v>
      </c>
      <c r="E4" t="s">
        <v>19</v>
      </c>
      <c r="F4" s="1">
        <v>0</v>
      </c>
      <c r="G4" s="1">
        <v>13750381</v>
      </c>
      <c r="H4" s="1">
        <v>-13750381</v>
      </c>
      <c r="I4" t="s">
        <v>20</v>
      </c>
      <c r="J4">
        <v>52</v>
      </c>
      <c r="K4">
        <v>52</v>
      </c>
      <c r="M4">
        <v>1</v>
      </c>
    </row>
    <row r="5" spans="1:13" x14ac:dyDescent="0.25">
      <c r="A5" t="s">
        <v>17</v>
      </c>
      <c r="B5">
        <v>900077584</v>
      </c>
      <c r="C5">
        <v>900077584</v>
      </c>
      <c r="D5" t="s">
        <v>21</v>
      </c>
      <c r="E5" t="s">
        <v>22</v>
      </c>
      <c r="F5" s="1">
        <v>440000</v>
      </c>
      <c r="G5" s="1">
        <v>0</v>
      </c>
      <c r="H5" s="1">
        <v>440000</v>
      </c>
      <c r="I5" t="s">
        <v>23</v>
      </c>
      <c r="J5">
        <v>52</v>
      </c>
      <c r="K5">
        <v>52</v>
      </c>
      <c r="M5">
        <v>1</v>
      </c>
    </row>
    <row r="6" spans="1:13" x14ac:dyDescent="0.25">
      <c r="A6" t="s">
        <v>17</v>
      </c>
      <c r="B6">
        <v>900077584</v>
      </c>
      <c r="C6">
        <v>900077584</v>
      </c>
      <c r="D6" t="s">
        <v>21</v>
      </c>
      <c r="E6" t="s">
        <v>22</v>
      </c>
      <c r="F6" s="1">
        <v>440000</v>
      </c>
      <c r="G6" s="1">
        <v>0</v>
      </c>
      <c r="H6" s="1">
        <v>440000</v>
      </c>
      <c r="I6" t="s">
        <v>24</v>
      </c>
      <c r="J6">
        <v>52</v>
      </c>
      <c r="K6">
        <v>52</v>
      </c>
      <c r="M6">
        <v>1</v>
      </c>
    </row>
    <row r="7" spans="1:13" x14ac:dyDescent="0.25">
      <c r="A7" t="s">
        <v>17</v>
      </c>
      <c r="B7">
        <v>900077584</v>
      </c>
      <c r="C7">
        <v>900077584</v>
      </c>
      <c r="D7" t="s">
        <v>21</v>
      </c>
      <c r="E7" t="s">
        <v>22</v>
      </c>
      <c r="F7" s="1">
        <v>440000</v>
      </c>
      <c r="G7" s="1">
        <v>0</v>
      </c>
      <c r="H7" s="1">
        <v>440000</v>
      </c>
      <c r="I7" t="s">
        <v>25</v>
      </c>
      <c r="J7">
        <v>52</v>
      </c>
      <c r="K7">
        <v>52</v>
      </c>
      <c r="M7">
        <v>1</v>
      </c>
    </row>
    <row r="8" spans="1:13" x14ac:dyDescent="0.25">
      <c r="A8" t="s">
        <v>17</v>
      </c>
      <c r="B8">
        <v>900077584</v>
      </c>
      <c r="C8">
        <v>900077584</v>
      </c>
      <c r="D8" t="s">
        <v>21</v>
      </c>
      <c r="E8" t="s">
        <v>22</v>
      </c>
      <c r="F8" s="1">
        <v>440000</v>
      </c>
      <c r="G8" s="1">
        <v>0</v>
      </c>
      <c r="H8" s="1">
        <v>440000</v>
      </c>
      <c r="I8" t="s">
        <v>26</v>
      </c>
      <c r="J8">
        <v>52</v>
      </c>
      <c r="K8">
        <v>52</v>
      </c>
      <c r="M8">
        <v>1</v>
      </c>
    </row>
    <row r="9" spans="1:13" x14ac:dyDescent="0.25">
      <c r="A9" t="s">
        <v>17</v>
      </c>
      <c r="B9">
        <v>901021565</v>
      </c>
      <c r="C9">
        <v>901021565</v>
      </c>
      <c r="D9" t="s">
        <v>27</v>
      </c>
      <c r="E9" t="s">
        <v>28</v>
      </c>
      <c r="F9" s="1">
        <v>22385000</v>
      </c>
      <c r="G9" s="1">
        <v>0</v>
      </c>
      <c r="H9" s="1">
        <v>22385000</v>
      </c>
      <c r="I9" t="s">
        <v>29</v>
      </c>
      <c r="J9">
        <v>52</v>
      </c>
      <c r="K9">
        <v>52</v>
      </c>
      <c r="M9">
        <v>1</v>
      </c>
    </row>
    <row r="10" spans="1:13" x14ac:dyDescent="0.25">
      <c r="A10" t="s">
        <v>17</v>
      </c>
      <c r="B10">
        <v>901021565</v>
      </c>
      <c r="C10">
        <v>901021565</v>
      </c>
      <c r="D10" t="s">
        <v>27</v>
      </c>
      <c r="E10" t="s">
        <v>28</v>
      </c>
      <c r="F10" s="1">
        <v>22385000</v>
      </c>
      <c r="G10" s="1">
        <v>0</v>
      </c>
      <c r="H10" s="1">
        <v>22385000</v>
      </c>
      <c r="I10" t="s">
        <v>30</v>
      </c>
      <c r="J10">
        <v>52</v>
      </c>
      <c r="K10">
        <v>52</v>
      </c>
      <c r="M10">
        <v>1</v>
      </c>
    </row>
    <row r="11" spans="1:13" x14ac:dyDescent="0.25">
      <c r="A11" t="s">
        <v>17</v>
      </c>
      <c r="B11">
        <v>901021565</v>
      </c>
      <c r="C11">
        <v>901021565</v>
      </c>
      <c r="D11" t="s">
        <v>27</v>
      </c>
      <c r="E11" t="s">
        <v>28</v>
      </c>
      <c r="F11" s="1">
        <v>22385000</v>
      </c>
      <c r="G11" s="1">
        <v>0</v>
      </c>
      <c r="H11" s="1">
        <v>22385000</v>
      </c>
      <c r="I11" t="s">
        <v>31</v>
      </c>
      <c r="J11">
        <v>52</v>
      </c>
      <c r="K11">
        <v>52</v>
      </c>
      <c r="M11">
        <v>1</v>
      </c>
    </row>
    <row r="12" spans="1:13" x14ac:dyDescent="0.25">
      <c r="A12" t="s">
        <v>17</v>
      </c>
      <c r="B12">
        <v>901021565</v>
      </c>
      <c r="C12">
        <v>901021565</v>
      </c>
      <c r="D12" t="s">
        <v>27</v>
      </c>
      <c r="E12" t="s">
        <v>28</v>
      </c>
      <c r="F12" s="1">
        <v>22385000</v>
      </c>
      <c r="G12" s="1">
        <v>0</v>
      </c>
      <c r="H12" s="1">
        <v>22385000</v>
      </c>
      <c r="I12" t="s">
        <v>32</v>
      </c>
      <c r="J12">
        <v>52</v>
      </c>
      <c r="K12">
        <v>52</v>
      </c>
      <c r="M12">
        <v>1</v>
      </c>
    </row>
    <row r="13" spans="1:13" x14ac:dyDescent="0.25">
      <c r="A13" t="s">
        <v>17</v>
      </c>
      <c r="B13">
        <v>901021565</v>
      </c>
      <c r="C13">
        <v>901021565</v>
      </c>
      <c r="D13" t="s">
        <v>27</v>
      </c>
      <c r="E13" t="s">
        <v>28</v>
      </c>
      <c r="F13" s="1">
        <v>22385000</v>
      </c>
      <c r="G13" s="1">
        <v>0</v>
      </c>
      <c r="H13" s="1">
        <v>22385000</v>
      </c>
      <c r="I13" t="s">
        <v>33</v>
      </c>
      <c r="J13">
        <v>52</v>
      </c>
      <c r="K13">
        <v>52</v>
      </c>
      <c r="M13">
        <v>1</v>
      </c>
    </row>
    <row r="14" spans="1:13" x14ac:dyDescent="0.25">
      <c r="A14" t="s">
        <v>17</v>
      </c>
      <c r="B14">
        <v>901021565</v>
      </c>
      <c r="C14">
        <v>901021565</v>
      </c>
      <c r="D14" t="s">
        <v>27</v>
      </c>
      <c r="E14" t="s">
        <v>28</v>
      </c>
      <c r="F14" s="1">
        <v>22385000</v>
      </c>
      <c r="G14" s="1">
        <v>0</v>
      </c>
      <c r="H14" s="1">
        <v>22385000</v>
      </c>
      <c r="I14" t="s">
        <v>34</v>
      </c>
      <c r="J14">
        <v>52</v>
      </c>
      <c r="K14">
        <v>52</v>
      </c>
      <c r="M14">
        <v>1</v>
      </c>
    </row>
    <row r="15" spans="1:13" x14ac:dyDescent="0.25">
      <c r="A15" t="s">
        <v>17</v>
      </c>
      <c r="B15">
        <v>901021565</v>
      </c>
      <c r="C15">
        <v>901021565</v>
      </c>
      <c r="D15" t="s">
        <v>27</v>
      </c>
      <c r="E15" t="s">
        <v>28</v>
      </c>
      <c r="F15" s="1">
        <v>22385000</v>
      </c>
      <c r="G15" s="1">
        <v>0</v>
      </c>
      <c r="H15" s="1">
        <v>22385000</v>
      </c>
      <c r="I15" t="s">
        <v>35</v>
      </c>
      <c r="J15">
        <v>52</v>
      </c>
      <c r="K15">
        <v>52</v>
      </c>
      <c r="M15">
        <v>1</v>
      </c>
    </row>
    <row r="16" spans="1:13" x14ac:dyDescent="0.25">
      <c r="A16" t="s">
        <v>17</v>
      </c>
      <c r="B16">
        <v>901021565</v>
      </c>
      <c r="C16">
        <v>901021565</v>
      </c>
      <c r="D16" t="s">
        <v>27</v>
      </c>
      <c r="E16" t="s">
        <v>28</v>
      </c>
      <c r="F16" s="1">
        <v>62395933</v>
      </c>
      <c r="G16" s="1">
        <v>0</v>
      </c>
      <c r="H16" s="1">
        <v>62395933</v>
      </c>
      <c r="I16" t="s">
        <v>36</v>
      </c>
      <c r="J16">
        <v>52</v>
      </c>
      <c r="K16">
        <v>52</v>
      </c>
      <c r="M16">
        <v>1</v>
      </c>
    </row>
    <row r="17" spans="1:13" x14ac:dyDescent="0.25">
      <c r="A17" t="s">
        <v>17</v>
      </c>
      <c r="B17">
        <v>901021565</v>
      </c>
      <c r="C17">
        <v>901021565</v>
      </c>
      <c r="D17" t="s">
        <v>27</v>
      </c>
      <c r="E17" t="s">
        <v>28</v>
      </c>
      <c r="F17" s="1">
        <v>6942936</v>
      </c>
      <c r="G17" s="1">
        <v>0</v>
      </c>
      <c r="H17" s="1">
        <v>6942936</v>
      </c>
      <c r="I17" t="s">
        <v>37</v>
      </c>
      <c r="J17">
        <v>52</v>
      </c>
      <c r="K17">
        <v>52</v>
      </c>
      <c r="M17">
        <v>1</v>
      </c>
    </row>
    <row r="18" spans="1:13" x14ac:dyDescent="0.25">
      <c r="A18" t="s">
        <v>38</v>
      </c>
      <c r="B18">
        <v>800197268</v>
      </c>
      <c r="C18">
        <v>800197268</v>
      </c>
      <c r="D18" t="s">
        <v>39</v>
      </c>
      <c r="E18" t="s">
        <v>19</v>
      </c>
      <c r="F18" s="1">
        <v>0</v>
      </c>
      <c r="G18" s="1">
        <v>87706.92</v>
      </c>
      <c r="H18" s="1">
        <v>-87706.92</v>
      </c>
      <c r="I18" t="s">
        <v>20</v>
      </c>
      <c r="J18">
        <v>52</v>
      </c>
      <c r="K18">
        <v>52</v>
      </c>
      <c r="M18">
        <v>1</v>
      </c>
    </row>
    <row r="19" spans="1:13" x14ac:dyDescent="0.25">
      <c r="A19" t="s">
        <v>38</v>
      </c>
      <c r="B19">
        <v>900077584</v>
      </c>
      <c r="C19">
        <v>800197268</v>
      </c>
      <c r="D19" t="s">
        <v>21</v>
      </c>
      <c r="E19" t="s">
        <v>19</v>
      </c>
      <c r="F19" s="1">
        <v>0</v>
      </c>
      <c r="G19" s="1">
        <v>22063528</v>
      </c>
      <c r="H19" s="1">
        <v>-22063528</v>
      </c>
      <c r="I19" t="s">
        <v>20</v>
      </c>
      <c r="J19">
        <v>52</v>
      </c>
      <c r="K19">
        <v>52</v>
      </c>
      <c r="M19">
        <v>1</v>
      </c>
    </row>
    <row r="20" spans="1:13" x14ac:dyDescent="0.25">
      <c r="A20" t="s">
        <v>38</v>
      </c>
      <c r="B20">
        <v>900077584</v>
      </c>
      <c r="C20">
        <v>900077584</v>
      </c>
      <c r="D20" t="s">
        <v>21</v>
      </c>
      <c r="E20" t="s">
        <v>22</v>
      </c>
      <c r="F20" s="1">
        <v>512148</v>
      </c>
      <c r="G20" s="1">
        <v>0</v>
      </c>
      <c r="H20" s="1">
        <v>512148</v>
      </c>
      <c r="I20" t="s">
        <v>40</v>
      </c>
      <c r="J20">
        <v>52</v>
      </c>
      <c r="K20">
        <v>52</v>
      </c>
      <c r="M20">
        <v>1</v>
      </c>
    </row>
    <row r="21" spans="1:13" x14ac:dyDescent="0.25">
      <c r="A21" t="s">
        <v>38</v>
      </c>
      <c r="B21">
        <v>900077584</v>
      </c>
      <c r="C21">
        <v>900077584</v>
      </c>
      <c r="D21" t="s">
        <v>21</v>
      </c>
      <c r="E21" t="s">
        <v>22</v>
      </c>
      <c r="F21" s="1">
        <v>2480000</v>
      </c>
      <c r="G21" s="1">
        <v>0</v>
      </c>
      <c r="H21" s="1">
        <v>2480000</v>
      </c>
      <c r="I21" t="s">
        <v>41</v>
      </c>
      <c r="J21">
        <v>52</v>
      </c>
      <c r="K21">
        <v>52</v>
      </c>
      <c r="M21">
        <v>1</v>
      </c>
    </row>
    <row r="22" spans="1:13" x14ac:dyDescent="0.25">
      <c r="A22" t="s">
        <v>38</v>
      </c>
      <c r="B22">
        <v>900077584</v>
      </c>
      <c r="C22">
        <v>900077584</v>
      </c>
      <c r="D22" t="s">
        <v>21</v>
      </c>
      <c r="E22" t="s">
        <v>22</v>
      </c>
      <c r="F22" s="1">
        <v>2480000</v>
      </c>
      <c r="G22" s="1">
        <v>0</v>
      </c>
      <c r="H22" s="1">
        <v>2480000</v>
      </c>
      <c r="I22" t="s">
        <v>42</v>
      </c>
      <c r="J22">
        <v>52</v>
      </c>
      <c r="K22">
        <v>52</v>
      </c>
      <c r="M22">
        <v>1</v>
      </c>
    </row>
    <row r="23" spans="1:13" x14ac:dyDescent="0.25">
      <c r="A23" t="s">
        <v>38</v>
      </c>
      <c r="B23">
        <v>900077584</v>
      </c>
      <c r="C23">
        <v>900077584</v>
      </c>
      <c r="D23" t="s">
        <v>21</v>
      </c>
      <c r="E23" t="s">
        <v>22</v>
      </c>
      <c r="F23" s="1">
        <v>2480000</v>
      </c>
      <c r="G23" s="1">
        <v>0</v>
      </c>
      <c r="H23" s="1">
        <v>2480000</v>
      </c>
      <c r="I23" t="s">
        <v>43</v>
      </c>
      <c r="J23">
        <v>52</v>
      </c>
      <c r="K23">
        <v>52</v>
      </c>
      <c r="M23">
        <v>1</v>
      </c>
    </row>
    <row r="24" spans="1:13" x14ac:dyDescent="0.25">
      <c r="A24" t="s">
        <v>38</v>
      </c>
      <c r="B24">
        <v>900077584</v>
      </c>
      <c r="C24">
        <v>900077584</v>
      </c>
      <c r="D24" t="s">
        <v>21</v>
      </c>
      <c r="E24" t="s">
        <v>22</v>
      </c>
      <c r="F24" s="1">
        <v>512148</v>
      </c>
      <c r="G24" s="1">
        <v>0</v>
      </c>
      <c r="H24" s="1">
        <v>512148</v>
      </c>
      <c r="I24" t="s">
        <v>44</v>
      </c>
      <c r="J24">
        <v>52</v>
      </c>
      <c r="K24">
        <v>52</v>
      </c>
      <c r="M24">
        <v>1</v>
      </c>
    </row>
    <row r="25" spans="1:13" x14ac:dyDescent="0.25">
      <c r="A25" t="s">
        <v>38</v>
      </c>
      <c r="B25">
        <v>900077584</v>
      </c>
      <c r="C25">
        <v>900077584</v>
      </c>
      <c r="D25" t="s">
        <v>21</v>
      </c>
      <c r="E25" t="s">
        <v>22</v>
      </c>
      <c r="F25" s="1">
        <v>512148</v>
      </c>
      <c r="G25" s="1">
        <v>0</v>
      </c>
      <c r="H25" s="1">
        <v>512148</v>
      </c>
      <c r="I25" t="s">
        <v>45</v>
      </c>
      <c r="J25">
        <v>52</v>
      </c>
      <c r="K25">
        <v>52</v>
      </c>
      <c r="M25">
        <v>1</v>
      </c>
    </row>
    <row r="26" spans="1:13" x14ac:dyDescent="0.25">
      <c r="A26" t="s">
        <v>38</v>
      </c>
      <c r="B26">
        <v>900077584</v>
      </c>
      <c r="C26">
        <v>900077584</v>
      </c>
      <c r="D26" t="s">
        <v>21</v>
      </c>
      <c r="E26" t="s">
        <v>22</v>
      </c>
      <c r="F26" s="1">
        <v>2480000</v>
      </c>
      <c r="G26" s="1">
        <v>0</v>
      </c>
      <c r="H26" s="1">
        <v>2480000</v>
      </c>
      <c r="I26" t="s">
        <v>46</v>
      </c>
      <c r="J26">
        <v>52</v>
      </c>
      <c r="K26">
        <v>52</v>
      </c>
      <c r="M26">
        <v>1</v>
      </c>
    </row>
    <row r="27" spans="1:13" x14ac:dyDescent="0.25">
      <c r="A27" t="s">
        <v>38</v>
      </c>
      <c r="B27">
        <v>900077584</v>
      </c>
      <c r="C27">
        <v>900077584</v>
      </c>
      <c r="D27" t="s">
        <v>21</v>
      </c>
      <c r="E27" t="s">
        <v>22</v>
      </c>
      <c r="F27" s="1">
        <v>512148</v>
      </c>
      <c r="G27" s="1">
        <v>0</v>
      </c>
      <c r="H27" s="1">
        <v>512148</v>
      </c>
      <c r="I27" t="s">
        <v>47</v>
      </c>
      <c r="J27">
        <v>52</v>
      </c>
      <c r="K27">
        <v>52</v>
      </c>
      <c r="M27">
        <v>1</v>
      </c>
    </row>
    <row r="28" spans="1:13" x14ac:dyDescent="0.25">
      <c r="A28" t="s">
        <v>38</v>
      </c>
      <c r="B28">
        <v>900077584</v>
      </c>
      <c r="C28">
        <v>900077584</v>
      </c>
      <c r="D28" t="s">
        <v>21</v>
      </c>
      <c r="E28" t="s">
        <v>22</v>
      </c>
      <c r="F28" s="1">
        <v>2480000</v>
      </c>
      <c r="G28" s="1">
        <v>0</v>
      </c>
      <c r="H28" s="1">
        <v>2480000</v>
      </c>
      <c r="I28" t="s">
        <v>48</v>
      </c>
      <c r="J28">
        <v>52</v>
      </c>
      <c r="K28">
        <v>52</v>
      </c>
      <c r="M28">
        <v>1</v>
      </c>
    </row>
    <row r="29" spans="1:13" x14ac:dyDescent="0.25">
      <c r="A29" t="s">
        <v>38</v>
      </c>
      <c r="B29">
        <v>900077584</v>
      </c>
      <c r="C29">
        <v>900077584</v>
      </c>
      <c r="D29" t="s">
        <v>21</v>
      </c>
      <c r="E29" t="s">
        <v>22</v>
      </c>
      <c r="F29" s="1">
        <v>512148</v>
      </c>
      <c r="G29" s="1">
        <v>0</v>
      </c>
      <c r="H29" s="1">
        <v>512148</v>
      </c>
      <c r="I29" t="s">
        <v>49</v>
      </c>
      <c r="J29">
        <v>52</v>
      </c>
      <c r="K29">
        <v>52</v>
      </c>
      <c r="M29">
        <v>1</v>
      </c>
    </row>
    <row r="30" spans="1:13" x14ac:dyDescent="0.25">
      <c r="A30" t="s">
        <v>38</v>
      </c>
      <c r="B30">
        <v>900077584</v>
      </c>
      <c r="C30">
        <v>900077584</v>
      </c>
      <c r="D30" t="s">
        <v>21</v>
      </c>
      <c r="E30" t="s">
        <v>22</v>
      </c>
      <c r="F30" s="1">
        <v>2480000</v>
      </c>
      <c r="G30" s="1">
        <v>0</v>
      </c>
      <c r="H30" s="1">
        <v>2480000</v>
      </c>
      <c r="I30" t="s">
        <v>50</v>
      </c>
      <c r="J30">
        <v>52</v>
      </c>
      <c r="K30">
        <v>52</v>
      </c>
      <c r="M30">
        <v>1</v>
      </c>
    </row>
    <row r="31" spans="1:13" x14ac:dyDescent="0.25">
      <c r="A31" t="s">
        <v>38</v>
      </c>
      <c r="B31">
        <v>900077584</v>
      </c>
      <c r="C31">
        <v>900077584</v>
      </c>
      <c r="D31" t="s">
        <v>21</v>
      </c>
      <c r="E31" t="s">
        <v>22</v>
      </c>
      <c r="F31" s="1">
        <v>512148</v>
      </c>
      <c r="G31" s="1">
        <v>0</v>
      </c>
      <c r="H31" s="1">
        <v>512148</v>
      </c>
      <c r="I31" t="s">
        <v>51</v>
      </c>
      <c r="J31">
        <v>52</v>
      </c>
      <c r="K31">
        <v>52</v>
      </c>
      <c r="M31">
        <v>1</v>
      </c>
    </row>
    <row r="32" spans="1:13" x14ac:dyDescent="0.25">
      <c r="A32" t="s">
        <v>38</v>
      </c>
      <c r="B32">
        <v>900077584</v>
      </c>
      <c r="C32">
        <v>900077584</v>
      </c>
      <c r="D32" t="s">
        <v>21</v>
      </c>
      <c r="E32" t="s">
        <v>22</v>
      </c>
      <c r="F32" s="1">
        <v>842478.23</v>
      </c>
      <c r="G32" s="1">
        <v>0</v>
      </c>
      <c r="H32" s="1">
        <v>842478.23</v>
      </c>
      <c r="I32" t="s">
        <v>52</v>
      </c>
      <c r="J32">
        <v>52</v>
      </c>
      <c r="K32">
        <v>52</v>
      </c>
      <c r="M32">
        <v>1</v>
      </c>
    </row>
    <row r="33" spans="1:13" x14ac:dyDescent="0.25">
      <c r="A33" t="s">
        <v>38</v>
      </c>
      <c r="B33">
        <v>900350386</v>
      </c>
      <c r="C33">
        <v>800197268</v>
      </c>
      <c r="D33" t="s">
        <v>53</v>
      </c>
      <c r="E33" t="s">
        <v>19</v>
      </c>
      <c r="F33" s="1">
        <v>0</v>
      </c>
      <c r="G33" s="1">
        <v>601200</v>
      </c>
      <c r="H33" s="1">
        <v>-601200</v>
      </c>
      <c r="I33" t="s">
        <v>20</v>
      </c>
      <c r="J33">
        <v>52</v>
      </c>
      <c r="K33">
        <v>52</v>
      </c>
      <c r="M33">
        <v>1</v>
      </c>
    </row>
    <row r="34" spans="1:13" x14ac:dyDescent="0.25">
      <c r="A34" t="s">
        <v>38</v>
      </c>
      <c r="B34">
        <v>901021565</v>
      </c>
      <c r="C34">
        <v>800197268</v>
      </c>
      <c r="D34" t="s">
        <v>27</v>
      </c>
      <c r="E34" t="s">
        <v>19</v>
      </c>
      <c r="F34" s="1">
        <v>0</v>
      </c>
      <c r="G34" s="1">
        <v>4269136</v>
      </c>
      <c r="H34" s="1">
        <v>-4269136</v>
      </c>
      <c r="I34" t="s">
        <v>20</v>
      </c>
      <c r="J34">
        <v>52</v>
      </c>
      <c r="K34">
        <v>52</v>
      </c>
      <c r="M34">
        <v>1</v>
      </c>
    </row>
    <row r="35" spans="1:13" x14ac:dyDescent="0.25">
      <c r="A35" t="s">
        <v>38</v>
      </c>
      <c r="B35">
        <v>901021565</v>
      </c>
      <c r="C35">
        <v>901021565</v>
      </c>
      <c r="D35" t="s">
        <v>27</v>
      </c>
      <c r="E35" t="s">
        <v>28</v>
      </c>
      <c r="F35" s="1">
        <v>5378151</v>
      </c>
      <c r="G35" s="1">
        <v>0</v>
      </c>
      <c r="H35" s="1">
        <v>5378151</v>
      </c>
      <c r="I35" t="s">
        <v>54</v>
      </c>
      <c r="J35">
        <v>52</v>
      </c>
      <c r="K35">
        <v>52</v>
      </c>
      <c r="M35">
        <v>1</v>
      </c>
    </row>
    <row r="36" spans="1:13" x14ac:dyDescent="0.25">
      <c r="A36" t="s">
        <v>38</v>
      </c>
      <c r="B36">
        <v>901021565</v>
      </c>
      <c r="C36">
        <v>901021565</v>
      </c>
      <c r="D36" t="s">
        <v>27</v>
      </c>
      <c r="E36" t="s">
        <v>28</v>
      </c>
      <c r="F36" s="1">
        <v>5378151</v>
      </c>
      <c r="G36" s="1">
        <v>0</v>
      </c>
      <c r="H36" s="1">
        <v>5378151</v>
      </c>
      <c r="I36" t="s">
        <v>55</v>
      </c>
      <c r="J36">
        <v>52</v>
      </c>
      <c r="K36">
        <v>52</v>
      </c>
      <c r="M36">
        <v>1</v>
      </c>
    </row>
    <row r="37" spans="1:13" x14ac:dyDescent="0.25">
      <c r="A37" t="s">
        <v>38</v>
      </c>
      <c r="B37">
        <v>901021565</v>
      </c>
      <c r="C37">
        <v>901021565</v>
      </c>
      <c r="D37" t="s">
        <v>27</v>
      </c>
      <c r="E37" t="s">
        <v>28</v>
      </c>
      <c r="F37" s="1">
        <v>4865484</v>
      </c>
      <c r="G37" s="1">
        <v>0</v>
      </c>
      <c r="H37" s="1">
        <v>4865484</v>
      </c>
      <c r="I37" t="s">
        <v>56</v>
      </c>
      <c r="J37">
        <v>52</v>
      </c>
      <c r="K37">
        <v>52</v>
      </c>
      <c r="M37">
        <v>1</v>
      </c>
    </row>
    <row r="38" spans="1:13" x14ac:dyDescent="0.25">
      <c r="A38" t="s">
        <v>57</v>
      </c>
      <c r="B38">
        <v>901021565</v>
      </c>
      <c r="C38">
        <v>901021565</v>
      </c>
      <c r="D38" t="s">
        <v>27</v>
      </c>
      <c r="E38" t="s">
        <v>28</v>
      </c>
      <c r="F38" s="1">
        <v>0</v>
      </c>
      <c r="G38" s="1">
        <v>940905</v>
      </c>
      <c r="H38" s="1">
        <v>-940905</v>
      </c>
      <c r="I38" t="s">
        <v>58</v>
      </c>
      <c r="J38">
        <v>52</v>
      </c>
      <c r="K38">
        <v>52</v>
      </c>
      <c r="M38">
        <v>1</v>
      </c>
    </row>
    <row r="39" spans="1:13" x14ac:dyDescent="0.25">
      <c r="A39" t="s">
        <v>57</v>
      </c>
      <c r="B39">
        <v>901021565</v>
      </c>
      <c r="C39">
        <v>901021565</v>
      </c>
      <c r="D39" t="s">
        <v>27</v>
      </c>
      <c r="E39" t="s">
        <v>28</v>
      </c>
      <c r="F39" s="1">
        <v>940905</v>
      </c>
      <c r="G39" s="1">
        <v>0</v>
      </c>
      <c r="H39" s="1">
        <v>940905</v>
      </c>
      <c r="I39" t="s">
        <v>59</v>
      </c>
      <c r="J39">
        <v>52</v>
      </c>
      <c r="K39">
        <v>52</v>
      </c>
      <c r="M39">
        <v>1</v>
      </c>
    </row>
    <row r="40" spans="1:13" x14ac:dyDescent="0.25">
      <c r="A40" t="s">
        <v>57</v>
      </c>
      <c r="B40">
        <v>901021565</v>
      </c>
      <c r="C40">
        <v>901021565</v>
      </c>
      <c r="D40" t="s">
        <v>27</v>
      </c>
      <c r="E40" t="s">
        <v>28</v>
      </c>
      <c r="F40" s="1">
        <v>940905</v>
      </c>
      <c r="G40" s="1">
        <v>0</v>
      </c>
      <c r="H40" s="1">
        <v>940905</v>
      </c>
      <c r="I40" t="s">
        <v>60</v>
      </c>
      <c r="J40">
        <v>52</v>
      </c>
      <c r="K40">
        <v>52</v>
      </c>
      <c r="M40">
        <v>1</v>
      </c>
    </row>
    <row r="41" spans="1:13" x14ac:dyDescent="0.25">
      <c r="A41" t="s">
        <v>57</v>
      </c>
      <c r="B41">
        <v>901021565</v>
      </c>
      <c r="C41">
        <v>901021565</v>
      </c>
      <c r="D41" t="s">
        <v>27</v>
      </c>
      <c r="E41" t="s">
        <v>28</v>
      </c>
      <c r="F41" s="1">
        <v>940905</v>
      </c>
      <c r="G41" s="1">
        <v>0</v>
      </c>
      <c r="H41" s="1">
        <v>940905</v>
      </c>
      <c r="I41" t="s">
        <v>61</v>
      </c>
      <c r="J41">
        <v>52</v>
      </c>
      <c r="K41">
        <v>52</v>
      </c>
      <c r="M41">
        <v>1</v>
      </c>
    </row>
    <row r="42" spans="1:13" x14ac:dyDescent="0.25">
      <c r="A42" t="s">
        <v>62</v>
      </c>
      <c r="B42">
        <v>901021565</v>
      </c>
      <c r="C42">
        <v>901021565</v>
      </c>
      <c r="D42" t="s">
        <v>27</v>
      </c>
      <c r="E42" t="s">
        <v>28</v>
      </c>
      <c r="F42" s="1">
        <v>160000</v>
      </c>
      <c r="G42" s="1">
        <v>0</v>
      </c>
      <c r="H42" s="1">
        <v>160000</v>
      </c>
      <c r="I42" t="s">
        <v>63</v>
      </c>
      <c r="J42">
        <v>52</v>
      </c>
      <c r="K42">
        <v>52</v>
      </c>
      <c r="M42">
        <v>1</v>
      </c>
    </row>
    <row r="43" spans="1:13" x14ac:dyDescent="0.25">
      <c r="A43" t="s">
        <v>62</v>
      </c>
      <c r="B43">
        <v>901021565</v>
      </c>
      <c r="C43">
        <v>901021565</v>
      </c>
      <c r="D43" t="s">
        <v>27</v>
      </c>
      <c r="E43" t="s">
        <v>28</v>
      </c>
      <c r="F43" s="1">
        <v>160000</v>
      </c>
      <c r="G43" s="1">
        <v>0</v>
      </c>
      <c r="H43" s="1">
        <v>160000</v>
      </c>
      <c r="I43" t="s">
        <v>64</v>
      </c>
      <c r="J43">
        <v>52</v>
      </c>
      <c r="K43">
        <v>52</v>
      </c>
      <c r="M43">
        <v>1</v>
      </c>
    </row>
    <row r="44" spans="1:13" x14ac:dyDescent="0.25">
      <c r="A44" t="s">
        <v>62</v>
      </c>
      <c r="B44">
        <v>901021565</v>
      </c>
      <c r="C44">
        <v>901021565</v>
      </c>
      <c r="D44" t="s">
        <v>27</v>
      </c>
      <c r="E44" t="s">
        <v>28</v>
      </c>
      <c r="F44" s="1">
        <v>200000</v>
      </c>
      <c r="G44" s="1">
        <v>0</v>
      </c>
      <c r="H44" s="1">
        <v>200000</v>
      </c>
      <c r="I44" t="s">
        <v>65</v>
      </c>
      <c r="J44">
        <v>52</v>
      </c>
      <c r="K44">
        <v>52</v>
      </c>
      <c r="M44">
        <v>1</v>
      </c>
    </row>
    <row r="45" spans="1:13" x14ac:dyDescent="0.25">
      <c r="A45" t="s">
        <v>62</v>
      </c>
      <c r="B45">
        <v>901021565</v>
      </c>
      <c r="C45">
        <v>901021565</v>
      </c>
      <c r="D45" t="s">
        <v>27</v>
      </c>
      <c r="E45" t="s">
        <v>28</v>
      </c>
      <c r="F45" s="1">
        <v>280000</v>
      </c>
      <c r="G45" s="1">
        <v>0</v>
      </c>
      <c r="H45" s="1">
        <v>280000</v>
      </c>
      <c r="I45" t="s">
        <v>66</v>
      </c>
      <c r="J45">
        <v>52</v>
      </c>
      <c r="K45">
        <v>52</v>
      </c>
      <c r="M45">
        <v>1</v>
      </c>
    </row>
    <row r="46" spans="1:13" x14ac:dyDescent="0.25">
      <c r="A46" t="s">
        <v>62</v>
      </c>
      <c r="B46">
        <v>901021565</v>
      </c>
      <c r="C46">
        <v>901021565</v>
      </c>
      <c r="D46" t="s">
        <v>27</v>
      </c>
      <c r="E46" t="s">
        <v>28</v>
      </c>
      <c r="F46" s="1">
        <v>840000</v>
      </c>
      <c r="G46" s="1">
        <v>0</v>
      </c>
      <c r="H46" s="1">
        <v>840000</v>
      </c>
      <c r="I46" t="s">
        <v>67</v>
      </c>
      <c r="J46">
        <v>52</v>
      </c>
      <c r="K46">
        <v>52</v>
      </c>
      <c r="M46">
        <v>1</v>
      </c>
    </row>
    <row r="47" spans="1:13" x14ac:dyDescent="0.25">
      <c r="A47" t="s">
        <v>62</v>
      </c>
      <c r="B47">
        <v>901021565</v>
      </c>
      <c r="C47">
        <v>901021565</v>
      </c>
      <c r="D47" t="s">
        <v>27</v>
      </c>
      <c r="E47" t="s">
        <v>28</v>
      </c>
      <c r="F47" s="1">
        <v>280000</v>
      </c>
      <c r="G47" s="1">
        <v>0</v>
      </c>
      <c r="H47" s="1">
        <v>280000</v>
      </c>
      <c r="I47" t="s">
        <v>68</v>
      </c>
      <c r="J47">
        <v>52</v>
      </c>
      <c r="K47">
        <v>52</v>
      </c>
      <c r="M47">
        <v>1</v>
      </c>
    </row>
    <row r="48" spans="1:13" x14ac:dyDescent="0.25">
      <c r="A48" t="s">
        <v>62</v>
      </c>
      <c r="B48">
        <v>901021565</v>
      </c>
      <c r="C48">
        <v>901021565</v>
      </c>
      <c r="D48" t="s">
        <v>27</v>
      </c>
      <c r="E48" t="s">
        <v>28</v>
      </c>
      <c r="F48" s="1">
        <v>280000</v>
      </c>
      <c r="G48" s="1">
        <v>0</v>
      </c>
      <c r="H48" s="1">
        <v>280000</v>
      </c>
      <c r="I48" t="s">
        <v>69</v>
      </c>
      <c r="J48">
        <v>52</v>
      </c>
      <c r="K48">
        <v>52</v>
      </c>
      <c r="M48">
        <v>1</v>
      </c>
    </row>
    <row r="49" spans="1:13" x14ac:dyDescent="0.25">
      <c r="A49" t="s">
        <v>62</v>
      </c>
      <c r="B49">
        <v>901021565</v>
      </c>
      <c r="C49">
        <v>901021565</v>
      </c>
      <c r="D49" t="s">
        <v>27</v>
      </c>
      <c r="E49" t="s">
        <v>28</v>
      </c>
      <c r="F49" s="1">
        <v>280000</v>
      </c>
      <c r="G49" s="1">
        <v>0</v>
      </c>
      <c r="H49" s="1">
        <v>280000</v>
      </c>
      <c r="I49" t="s">
        <v>70</v>
      </c>
      <c r="J49">
        <v>52</v>
      </c>
      <c r="K49">
        <v>52</v>
      </c>
      <c r="M49">
        <v>1</v>
      </c>
    </row>
    <row r="50" spans="1:13" x14ac:dyDescent="0.25">
      <c r="A50" t="s">
        <v>62</v>
      </c>
      <c r="B50">
        <v>901021565</v>
      </c>
      <c r="C50">
        <v>901021565</v>
      </c>
      <c r="D50" t="s">
        <v>27</v>
      </c>
      <c r="E50" t="s">
        <v>28</v>
      </c>
      <c r="F50" s="1">
        <v>280000</v>
      </c>
      <c r="G50" s="1">
        <v>0</v>
      </c>
      <c r="H50" s="1">
        <v>280000</v>
      </c>
      <c r="I50" t="s">
        <v>71</v>
      </c>
      <c r="J50">
        <v>52</v>
      </c>
      <c r="K50">
        <v>52</v>
      </c>
      <c r="M50">
        <v>1</v>
      </c>
    </row>
    <row r="51" spans="1:13" x14ac:dyDescent="0.25">
      <c r="A51" t="s">
        <v>62</v>
      </c>
      <c r="B51">
        <v>901021565</v>
      </c>
      <c r="C51">
        <v>901021565</v>
      </c>
      <c r="D51" t="s">
        <v>27</v>
      </c>
      <c r="E51" t="s">
        <v>28</v>
      </c>
      <c r="F51" s="1">
        <v>800000</v>
      </c>
      <c r="G51" s="1">
        <v>0</v>
      </c>
      <c r="H51" s="1">
        <v>800000</v>
      </c>
      <c r="I51" t="s">
        <v>72</v>
      </c>
      <c r="J51">
        <v>52</v>
      </c>
      <c r="K51">
        <v>52</v>
      </c>
      <c r="M51">
        <v>1</v>
      </c>
    </row>
    <row r="52" spans="1:13" x14ac:dyDescent="0.25">
      <c r="A52" t="s">
        <v>62</v>
      </c>
      <c r="B52">
        <v>901021565</v>
      </c>
      <c r="C52">
        <v>901021565</v>
      </c>
      <c r="D52" t="s">
        <v>27</v>
      </c>
      <c r="E52" t="s">
        <v>28</v>
      </c>
      <c r="F52" s="1">
        <v>0</v>
      </c>
      <c r="G52" s="1">
        <v>280000</v>
      </c>
      <c r="H52" s="1">
        <v>-280000</v>
      </c>
      <c r="I52" t="s">
        <v>73</v>
      </c>
      <c r="J52">
        <v>52</v>
      </c>
      <c r="K52">
        <v>52</v>
      </c>
      <c r="M52">
        <v>1</v>
      </c>
    </row>
    <row r="53" spans="1:13" x14ac:dyDescent="0.25">
      <c r="A53" t="s">
        <v>74</v>
      </c>
      <c r="B53">
        <v>900077584</v>
      </c>
      <c r="C53">
        <v>800197268</v>
      </c>
      <c r="D53" t="s">
        <v>21</v>
      </c>
      <c r="E53" t="s">
        <v>19</v>
      </c>
      <c r="F53" s="1">
        <v>0</v>
      </c>
      <c r="G53" s="1">
        <v>915012</v>
      </c>
      <c r="H53" s="1">
        <v>-915012</v>
      </c>
      <c r="I53" t="s">
        <v>20</v>
      </c>
      <c r="J53">
        <v>52</v>
      </c>
      <c r="K53">
        <v>52</v>
      </c>
      <c r="M53">
        <v>1</v>
      </c>
    </row>
    <row r="54" spans="1:13" x14ac:dyDescent="0.25">
      <c r="A54" t="s">
        <v>74</v>
      </c>
      <c r="B54">
        <v>900077584</v>
      </c>
      <c r="C54">
        <v>900077584</v>
      </c>
      <c r="D54" t="s">
        <v>21</v>
      </c>
      <c r="E54" t="s">
        <v>22</v>
      </c>
      <c r="F54" s="1">
        <v>9803700</v>
      </c>
      <c r="G54" s="1">
        <v>0</v>
      </c>
      <c r="H54" s="1">
        <v>9803700</v>
      </c>
      <c r="I54" t="s">
        <v>75</v>
      </c>
      <c r="J54">
        <v>52</v>
      </c>
      <c r="K54">
        <v>52</v>
      </c>
      <c r="M54">
        <v>1</v>
      </c>
    </row>
    <row r="55" spans="1:13" x14ac:dyDescent="0.25">
      <c r="A55" t="s">
        <v>74</v>
      </c>
      <c r="B55">
        <v>900077584</v>
      </c>
      <c r="C55">
        <v>900077584</v>
      </c>
      <c r="D55" t="s">
        <v>21</v>
      </c>
      <c r="E55" t="s">
        <v>22</v>
      </c>
      <c r="F55" s="1">
        <v>457506</v>
      </c>
      <c r="G55" s="1">
        <v>0</v>
      </c>
      <c r="H55" s="1">
        <v>457506</v>
      </c>
      <c r="I55" t="s">
        <v>23</v>
      </c>
      <c r="J55">
        <v>52</v>
      </c>
      <c r="K55">
        <v>52</v>
      </c>
      <c r="M55">
        <v>1</v>
      </c>
    </row>
    <row r="56" spans="1:13" x14ac:dyDescent="0.25">
      <c r="A56" t="s">
        <v>74</v>
      </c>
      <c r="B56">
        <v>900077584</v>
      </c>
      <c r="C56">
        <v>900077584</v>
      </c>
      <c r="D56" t="s">
        <v>21</v>
      </c>
      <c r="E56" t="s">
        <v>22</v>
      </c>
      <c r="F56" s="1">
        <v>457502.5</v>
      </c>
      <c r="G56" s="1">
        <v>0</v>
      </c>
      <c r="H56" s="1">
        <v>457502.5</v>
      </c>
      <c r="I56" t="s">
        <v>24</v>
      </c>
      <c r="J56">
        <v>52</v>
      </c>
      <c r="K56">
        <v>52</v>
      </c>
      <c r="M56">
        <v>1</v>
      </c>
    </row>
    <row r="57" spans="1:13" x14ac:dyDescent="0.25">
      <c r="A57" t="s">
        <v>74</v>
      </c>
      <c r="B57">
        <v>900077584</v>
      </c>
      <c r="C57">
        <v>900077584</v>
      </c>
      <c r="D57" t="s">
        <v>21</v>
      </c>
      <c r="E57" t="s">
        <v>22</v>
      </c>
      <c r="F57" s="1">
        <v>4575060</v>
      </c>
      <c r="G57" s="1">
        <v>0</v>
      </c>
      <c r="H57" s="1">
        <v>4575060</v>
      </c>
      <c r="I57" t="s">
        <v>76</v>
      </c>
      <c r="J57">
        <v>52</v>
      </c>
      <c r="K57">
        <v>52</v>
      </c>
      <c r="M57">
        <v>1</v>
      </c>
    </row>
    <row r="58" spans="1:13" x14ac:dyDescent="0.25">
      <c r="A58" t="s">
        <v>74</v>
      </c>
      <c r="B58">
        <v>900077584</v>
      </c>
      <c r="C58">
        <v>900077584</v>
      </c>
      <c r="D58" t="s">
        <v>21</v>
      </c>
      <c r="E58" t="s">
        <v>22</v>
      </c>
      <c r="F58" s="1">
        <v>457506</v>
      </c>
      <c r="G58" s="1">
        <v>0</v>
      </c>
      <c r="H58" s="1">
        <v>457506</v>
      </c>
      <c r="I58" t="s">
        <v>25</v>
      </c>
      <c r="J58">
        <v>52</v>
      </c>
      <c r="K58">
        <v>52</v>
      </c>
      <c r="M58">
        <v>1</v>
      </c>
    </row>
    <row r="59" spans="1:13" x14ac:dyDescent="0.25">
      <c r="A59" t="s">
        <v>74</v>
      </c>
      <c r="B59">
        <v>900077584</v>
      </c>
      <c r="C59">
        <v>900077584</v>
      </c>
      <c r="D59" t="s">
        <v>21</v>
      </c>
      <c r="E59" t="s">
        <v>22</v>
      </c>
      <c r="F59" s="1">
        <v>457502.5</v>
      </c>
      <c r="G59" s="1">
        <v>0</v>
      </c>
      <c r="H59" s="1">
        <v>457502.5</v>
      </c>
      <c r="I59" t="s">
        <v>26</v>
      </c>
      <c r="J59">
        <v>52</v>
      </c>
      <c r="K59">
        <v>52</v>
      </c>
      <c r="M59">
        <v>1</v>
      </c>
    </row>
    <row r="60" spans="1:13" x14ac:dyDescent="0.25">
      <c r="A60" t="s">
        <v>74</v>
      </c>
      <c r="B60">
        <v>901021565</v>
      </c>
      <c r="C60">
        <v>800197268</v>
      </c>
      <c r="D60" t="s">
        <v>27</v>
      </c>
      <c r="E60" t="s">
        <v>19</v>
      </c>
      <c r="F60" s="1">
        <v>0</v>
      </c>
      <c r="G60" s="1">
        <v>8718553</v>
      </c>
      <c r="H60" s="1">
        <v>-8718553</v>
      </c>
      <c r="I60" t="s">
        <v>20</v>
      </c>
      <c r="J60">
        <v>52</v>
      </c>
      <c r="K60">
        <v>52</v>
      </c>
      <c r="M60">
        <v>1</v>
      </c>
    </row>
    <row r="61" spans="1:13" x14ac:dyDescent="0.25">
      <c r="A61" t="s">
        <v>74</v>
      </c>
      <c r="B61">
        <v>901021565</v>
      </c>
      <c r="C61">
        <v>901021565</v>
      </c>
      <c r="D61" t="s">
        <v>27</v>
      </c>
      <c r="E61" t="s">
        <v>28</v>
      </c>
      <c r="F61" s="1">
        <v>278838</v>
      </c>
      <c r="G61" s="1">
        <v>0</v>
      </c>
      <c r="H61" s="1">
        <v>278838</v>
      </c>
      <c r="I61" t="s">
        <v>77</v>
      </c>
      <c r="J61">
        <v>52</v>
      </c>
      <c r="K61">
        <v>52</v>
      </c>
      <c r="M61">
        <v>1</v>
      </c>
    </row>
    <row r="62" spans="1:13" x14ac:dyDescent="0.25">
      <c r="A62" t="s">
        <v>74</v>
      </c>
      <c r="B62">
        <v>901021565</v>
      </c>
      <c r="C62">
        <v>901021565</v>
      </c>
      <c r="D62" t="s">
        <v>27</v>
      </c>
      <c r="E62" t="s">
        <v>28</v>
      </c>
      <c r="F62" s="1">
        <v>278260.5</v>
      </c>
      <c r="G62" s="1">
        <v>0</v>
      </c>
      <c r="H62" s="1">
        <v>278260.5</v>
      </c>
      <c r="I62" t="s">
        <v>78</v>
      </c>
      <c r="J62">
        <v>52</v>
      </c>
      <c r="K62">
        <v>52</v>
      </c>
      <c r="M62">
        <v>1</v>
      </c>
    </row>
    <row r="63" spans="1:13" x14ac:dyDescent="0.25">
      <c r="A63" t="s">
        <v>74</v>
      </c>
      <c r="B63">
        <v>901021565</v>
      </c>
      <c r="C63">
        <v>901021565</v>
      </c>
      <c r="D63" t="s">
        <v>27</v>
      </c>
      <c r="E63" t="s">
        <v>28</v>
      </c>
      <c r="F63" s="1">
        <v>275986.2</v>
      </c>
      <c r="G63" s="1">
        <v>0</v>
      </c>
      <c r="H63" s="1">
        <v>275986.2</v>
      </c>
      <c r="I63" t="s">
        <v>79</v>
      </c>
      <c r="J63">
        <v>52</v>
      </c>
      <c r="K63">
        <v>52</v>
      </c>
      <c r="M63">
        <v>1</v>
      </c>
    </row>
    <row r="64" spans="1:13" x14ac:dyDescent="0.25">
      <c r="A64" t="s">
        <v>74</v>
      </c>
      <c r="B64">
        <v>901021565</v>
      </c>
      <c r="C64">
        <v>901021565</v>
      </c>
      <c r="D64" t="s">
        <v>27</v>
      </c>
      <c r="E64" t="s">
        <v>28</v>
      </c>
      <c r="F64" s="1">
        <v>274004.5</v>
      </c>
      <c r="G64" s="1">
        <v>0</v>
      </c>
      <c r="H64" s="1">
        <v>274004.5</v>
      </c>
      <c r="I64" t="s">
        <v>80</v>
      </c>
      <c r="J64">
        <v>52</v>
      </c>
      <c r="K64">
        <v>52</v>
      </c>
      <c r="M64">
        <v>1</v>
      </c>
    </row>
    <row r="65" spans="1:13" x14ac:dyDescent="0.25">
      <c r="A65" t="s">
        <v>74</v>
      </c>
      <c r="B65">
        <v>901021565</v>
      </c>
      <c r="C65">
        <v>901021565</v>
      </c>
      <c r="D65" t="s">
        <v>27</v>
      </c>
      <c r="E65" t="s">
        <v>28</v>
      </c>
      <c r="F65" s="1">
        <v>275366</v>
      </c>
      <c r="G65" s="1">
        <v>0</v>
      </c>
      <c r="H65" s="1">
        <v>275366</v>
      </c>
      <c r="I65" t="s">
        <v>81</v>
      </c>
      <c r="J65">
        <v>52</v>
      </c>
      <c r="K65">
        <v>52</v>
      </c>
      <c r="M65">
        <v>1</v>
      </c>
    </row>
    <row r="66" spans="1:13" x14ac:dyDescent="0.25">
      <c r="A66" t="s">
        <v>74</v>
      </c>
      <c r="B66">
        <v>901021565</v>
      </c>
      <c r="C66">
        <v>901021565</v>
      </c>
      <c r="D66" t="s">
        <v>27</v>
      </c>
      <c r="E66" t="s">
        <v>28</v>
      </c>
      <c r="F66" s="1">
        <v>274631.40000000002</v>
      </c>
      <c r="G66" s="1">
        <v>0</v>
      </c>
      <c r="H66" s="1">
        <v>274631.40000000002</v>
      </c>
      <c r="I66" t="s">
        <v>82</v>
      </c>
      <c r="J66">
        <v>52</v>
      </c>
      <c r="K66">
        <v>52</v>
      </c>
      <c r="M66">
        <v>1</v>
      </c>
    </row>
    <row r="67" spans="1:13" x14ac:dyDescent="0.25">
      <c r="A67" t="s">
        <v>74</v>
      </c>
      <c r="B67">
        <v>901021565</v>
      </c>
      <c r="C67">
        <v>901021565</v>
      </c>
      <c r="D67" t="s">
        <v>27</v>
      </c>
      <c r="E67" t="s">
        <v>28</v>
      </c>
      <c r="F67" s="1">
        <v>1926414</v>
      </c>
      <c r="G67" s="1">
        <v>0</v>
      </c>
      <c r="H67" s="1">
        <v>1926414</v>
      </c>
      <c r="I67" t="s">
        <v>83</v>
      </c>
      <c r="J67">
        <v>52</v>
      </c>
      <c r="K67">
        <v>52</v>
      </c>
      <c r="M67">
        <v>1</v>
      </c>
    </row>
    <row r="68" spans="1:13" x14ac:dyDescent="0.25">
      <c r="A68" t="s">
        <v>74</v>
      </c>
      <c r="B68">
        <v>901021565</v>
      </c>
      <c r="C68">
        <v>901021565</v>
      </c>
      <c r="D68" t="s">
        <v>27</v>
      </c>
      <c r="E68" t="s">
        <v>28</v>
      </c>
      <c r="F68" s="1">
        <v>0</v>
      </c>
      <c r="G68" s="1">
        <v>274631.40000000002</v>
      </c>
      <c r="H68" s="1">
        <v>-274631.40000000002</v>
      </c>
      <c r="I68" t="s">
        <v>84</v>
      </c>
      <c r="J68">
        <v>52</v>
      </c>
      <c r="K68">
        <v>52</v>
      </c>
      <c r="M6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R18"/>
  <sheetViews>
    <sheetView workbookViewId="0">
      <selection activeCell="F26" sqref="F26"/>
    </sheetView>
  </sheetViews>
  <sheetFormatPr baseColWidth="10" defaultRowHeight="15" x14ac:dyDescent="0.25"/>
  <cols>
    <col min="9" max="9" width="14.42578125" bestFit="1" customWidth="1"/>
    <col min="13" max="13" width="20.7109375" customWidth="1"/>
    <col min="14" max="14" width="18.5703125" customWidth="1"/>
  </cols>
  <sheetData>
    <row r="1" spans="1:18" ht="45" x14ac:dyDescent="0.25">
      <c r="A1" s="2" t="s">
        <v>85</v>
      </c>
      <c r="B1" s="2" t="s">
        <v>86</v>
      </c>
      <c r="C1" s="2" t="s">
        <v>87</v>
      </c>
      <c r="D1" s="2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2" t="s">
        <v>4</v>
      </c>
      <c r="K1" s="2" t="s">
        <v>94</v>
      </c>
      <c r="L1" s="2" t="s">
        <v>95</v>
      </c>
      <c r="M1" s="2" t="s">
        <v>96</v>
      </c>
      <c r="N1" s="2" t="s">
        <v>97</v>
      </c>
      <c r="O1" s="4"/>
      <c r="P1" s="4"/>
      <c r="Q1" s="4"/>
      <c r="R1" s="4"/>
    </row>
    <row r="2" spans="1:18" x14ac:dyDescent="0.25">
      <c r="A2" s="8">
        <v>1303</v>
      </c>
      <c r="B2" s="2">
        <v>31</v>
      </c>
      <c r="C2">
        <v>901021565</v>
      </c>
      <c r="D2">
        <v>1</v>
      </c>
      <c r="I2" t="s">
        <v>98</v>
      </c>
      <c r="J2" t="s">
        <v>99</v>
      </c>
      <c r="K2">
        <v>52</v>
      </c>
      <c r="L2" s="5" t="s">
        <v>100</v>
      </c>
      <c r="M2" s="7">
        <v>390544656</v>
      </c>
      <c r="N2" s="7">
        <v>15621786</v>
      </c>
      <c r="O2" s="4"/>
      <c r="P2" s="4"/>
      <c r="Q2" s="4"/>
      <c r="R2" s="4"/>
    </row>
    <row r="3" spans="1:18" x14ac:dyDescent="0.25">
      <c r="A3">
        <v>1304</v>
      </c>
      <c r="B3">
        <v>31</v>
      </c>
      <c r="C3">
        <v>901021565</v>
      </c>
      <c r="D3">
        <v>1</v>
      </c>
      <c r="I3" t="s">
        <v>98</v>
      </c>
      <c r="J3" t="s">
        <v>99</v>
      </c>
      <c r="K3">
        <v>52</v>
      </c>
      <c r="L3" s="5" t="s">
        <v>100</v>
      </c>
      <c r="M3" s="7">
        <v>2149392478</v>
      </c>
      <c r="N3" s="7">
        <v>229342739</v>
      </c>
      <c r="O3" s="7"/>
    </row>
    <row r="4" spans="1:18" x14ac:dyDescent="0.25">
      <c r="A4">
        <v>1307</v>
      </c>
      <c r="B4">
        <v>31</v>
      </c>
      <c r="C4">
        <v>901021565</v>
      </c>
      <c r="D4">
        <v>1</v>
      </c>
      <c r="I4" t="s">
        <v>98</v>
      </c>
      <c r="J4" t="s">
        <v>99</v>
      </c>
      <c r="K4">
        <v>52</v>
      </c>
      <c r="L4" s="5" t="s">
        <v>100</v>
      </c>
      <c r="M4" s="7">
        <v>135766000</v>
      </c>
      <c r="N4" s="7">
        <v>5161810</v>
      </c>
      <c r="O4" s="7"/>
    </row>
    <row r="5" spans="1:18" x14ac:dyDescent="0.25">
      <c r="A5">
        <v>1304</v>
      </c>
      <c r="B5">
        <v>31</v>
      </c>
      <c r="C5">
        <v>900077584</v>
      </c>
      <c r="D5">
        <v>5</v>
      </c>
      <c r="I5" t="s">
        <v>102</v>
      </c>
      <c r="J5" t="s">
        <v>101</v>
      </c>
      <c r="K5">
        <v>52</v>
      </c>
      <c r="L5" s="5" t="s">
        <v>100</v>
      </c>
      <c r="M5" s="7">
        <v>199002200</v>
      </c>
      <c r="N5" s="7">
        <v>17968776</v>
      </c>
      <c r="O5" s="7"/>
    </row>
    <row r="6" spans="1:18" x14ac:dyDescent="0.25">
      <c r="A6">
        <v>1303</v>
      </c>
      <c r="B6">
        <v>31</v>
      </c>
      <c r="C6">
        <v>900077584</v>
      </c>
      <c r="D6">
        <v>5</v>
      </c>
      <c r="I6" t="s">
        <v>102</v>
      </c>
      <c r="J6" t="s">
        <v>101</v>
      </c>
      <c r="K6">
        <v>52</v>
      </c>
      <c r="L6" s="5" t="s">
        <v>100</v>
      </c>
      <c r="M6" s="7">
        <v>469884162</v>
      </c>
      <c r="N6" s="7">
        <v>18795366</v>
      </c>
      <c r="O6" s="7"/>
    </row>
    <row r="7" spans="1:18" x14ac:dyDescent="0.25">
      <c r="M7" s="7"/>
      <c r="N7" s="7"/>
      <c r="O7" s="7"/>
    </row>
    <row r="8" spans="1:18" x14ac:dyDescent="0.25">
      <c r="M8" s="7"/>
      <c r="N8" s="7"/>
      <c r="O8" s="7"/>
    </row>
    <row r="9" spans="1:18" x14ac:dyDescent="0.25">
      <c r="M9" s="7"/>
      <c r="N9" s="7"/>
      <c r="O9" s="7"/>
    </row>
    <row r="10" spans="1:18" x14ac:dyDescent="0.25">
      <c r="M10" s="7"/>
      <c r="N10" s="7"/>
      <c r="O10" s="7"/>
    </row>
    <row r="11" spans="1:18" x14ac:dyDescent="0.25">
      <c r="M11" s="7"/>
      <c r="N11" s="7"/>
      <c r="O11" s="7"/>
    </row>
    <row r="12" spans="1:18" x14ac:dyDescent="0.25">
      <c r="M12" s="7"/>
      <c r="N12" s="7"/>
      <c r="O12" s="7"/>
    </row>
    <row r="13" spans="1:18" x14ac:dyDescent="0.25">
      <c r="M13" s="7"/>
      <c r="N13" s="7"/>
      <c r="O13" s="7"/>
    </row>
    <row r="14" spans="1:18" x14ac:dyDescent="0.25">
      <c r="M14" s="7"/>
      <c r="N14" s="7"/>
      <c r="O14" s="7"/>
    </row>
    <row r="15" spans="1:18" x14ac:dyDescent="0.25">
      <c r="M15" s="7"/>
      <c r="N15" s="7"/>
      <c r="O15" s="7"/>
    </row>
    <row r="16" spans="1:18" x14ac:dyDescent="0.25">
      <c r="M16" s="7"/>
      <c r="N16" s="7"/>
      <c r="O16" s="7"/>
    </row>
    <row r="17" spans="13:15" x14ac:dyDescent="0.25">
      <c r="M17" s="7"/>
      <c r="N17" s="7"/>
      <c r="O17" s="7"/>
    </row>
    <row r="18" spans="13:15" x14ac:dyDescent="0.25">
      <c r="M18" s="7"/>
      <c r="N18" s="7"/>
      <c r="O1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K31"/>
  <sheetViews>
    <sheetView topLeftCell="A22" workbookViewId="0">
      <selection activeCell="A2" sqref="A2:K31"/>
    </sheetView>
  </sheetViews>
  <sheetFormatPr baseColWidth="10" defaultRowHeight="15" x14ac:dyDescent="0.25"/>
  <cols>
    <col min="8" max="8" width="68.85546875" bestFit="1" customWidth="1"/>
    <col min="9" max="9" width="19.7109375" customWidth="1"/>
  </cols>
  <sheetData>
    <row r="1" spans="1:11" ht="45" x14ac:dyDescent="0.25">
      <c r="A1" s="9" t="s">
        <v>103</v>
      </c>
      <c r="B1" s="9" t="s">
        <v>104</v>
      </c>
      <c r="C1" s="9" t="s">
        <v>88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</row>
    <row r="2" spans="1:11" x14ac:dyDescent="0.25">
      <c r="A2">
        <v>13</v>
      </c>
      <c r="B2">
        <v>10541192</v>
      </c>
      <c r="D2" t="s">
        <v>112</v>
      </c>
      <c r="E2" t="s">
        <v>136</v>
      </c>
      <c r="F2" t="s">
        <v>137</v>
      </c>
      <c r="G2" t="s">
        <v>138</v>
      </c>
      <c r="I2" s="6">
        <v>342000</v>
      </c>
      <c r="J2">
        <v>0</v>
      </c>
      <c r="K2">
        <v>0</v>
      </c>
    </row>
    <row r="3" spans="1:11" x14ac:dyDescent="0.25">
      <c r="A3">
        <v>13</v>
      </c>
      <c r="B3">
        <v>1085280055</v>
      </c>
      <c r="D3" t="s">
        <v>139</v>
      </c>
      <c r="E3" t="s">
        <v>140</v>
      </c>
      <c r="F3" t="s">
        <v>141</v>
      </c>
      <c r="G3" t="s">
        <v>142</v>
      </c>
      <c r="I3" s="6">
        <v>2619</v>
      </c>
      <c r="J3">
        <v>0</v>
      </c>
      <c r="K3">
        <v>0</v>
      </c>
    </row>
    <row r="4" spans="1:11" x14ac:dyDescent="0.25">
      <c r="A4">
        <v>13</v>
      </c>
      <c r="B4">
        <v>12960193</v>
      </c>
      <c r="D4" t="s">
        <v>145</v>
      </c>
      <c r="E4" t="s">
        <v>146</v>
      </c>
      <c r="F4" t="s">
        <v>143</v>
      </c>
      <c r="G4" t="s">
        <v>144</v>
      </c>
      <c r="I4" s="6">
        <v>68144</v>
      </c>
      <c r="J4">
        <v>0</v>
      </c>
      <c r="K4">
        <v>0</v>
      </c>
    </row>
    <row r="5" spans="1:11" x14ac:dyDescent="0.25">
      <c r="A5">
        <v>13</v>
      </c>
      <c r="B5">
        <v>14947418</v>
      </c>
      <c r="D5" t="s">
        <v>147</v>
      </c>
      <c r="E5" t="s">
        <v>148</v>
      </c>
      <c r="F5" t="s">
        <v>149</v>
      </c>
      <c r="I5" s="6">
        <v>11637500</v>
      </c>
      <c r="J5">
        <v>0</v>
      </c>
      <c r="K5">
        <v>0</v>
      </c>
    </row>
    <row r="6" spans="1:11" x14ac:dyDescent="0.25">
      <c r="A6">
        <v>13</v>
      </c>
      <c r="B6">
        <v>29097258</v>
      </c>
      <c r="D6" t="s">
        <v>150</v>
      </c>
      <c r="E6" t="s">
        <v>151</v>
      </c>
      <c r="F6" t="s">
        <v>152</v>
      </c>
      <c r="G6" t="s">
        <v>153</v>
      </c>
      <c r="I6" s="6">
        <v>11637500</v>
      </c>
      <c r="J6">
        <v>0</v>
      </c>
      <c r="K6">
        <v>0</v>
      </c>
    </row>
    <row r="7" spans="1:11" x14ac:dyDescent="0.25">
      <c r="A7">
        <v>13</v>
      </c>
      <c r="B7">
        <v>79383460</v>
      </c>
      <c r="D7" t="s">
        <v>157</v>
      </c>
      <c r="E7" t="s">
        <v>156</v>
      </c>
      <c r="F7" t="s">
        <v>154</v>
      </c>
      <c r="G7" t="s">
        <v>155</v>
      </c>
      <c r="I7" s="6">
        <v>22353</v>
      </c>
      <c r="J7">
        <v>0</v>
      </c>
      <c r="K7">
        <v>0</v>
      </c>
    </row>
    <row r="8" spans="1:11" x14ac:dyDescent="0.25">
      <c r="A8">
        <v>31</v>
      </c>
      <c r="B8">
        <v>800169376</v>
      </c>
      <c r="C8">
        <v>2</v>
      </c>
      <c r="H8" t="s">
        <v>113</v>
      </c>
      <c r="I8" s="6">
        <v>4674</v>
      </c>
      <c r="J8">
        <v>0</v>
      </c>
      <c r="K8">
        <v>0</v>
      </c>
    </row>
    <row r="9" spans="1:11" x14ac:dyDescent="0.25">
      <c r="A9">
        <v>31</v>
      </c>
      <c r="B9">
        <v>901320228</v>
      </c>
      <c r="C9">
        <v>3</v>
      </c>
      <c r="H9" t="s">
        <v>114</v>
      </c>
      <c r="I9" s="6">
        <v>871876</v>
      </c>
      <c r="J9">
        <v>0</v>
      </c>
      <c r="K9">
        <v>0</v>
      </c>
    </row>
    <row r="10" spans="1:11" x14ac:dyDescent="0.25">
      <c r="A10">
        <v>31</v>
      </c>
      <c r="B10">
        <v>814002211</v>
      </c>
      <c r="C10">
        <v>1</v>
      </c>
      <c r="H10" t="s">
        <v>115</v>
      </c>
      <c r="I10" s="6">
        <v>16720000</v>
      </c>
      <c r="J10">
        <v>0</v>
      </c>
      <c r="K10">
        <v>0</v>
      </c>
    </row>
    <row r="11" spans="1:11" x14ac:dyDescent="0.25">
      <c r="A11">
        <v>31</v>
      </c>
      <c r="B11">
        <v>814006325</v>
      </c>
      <c r="C11">
        <v>9</v>
      </c>
      <c r="H11" t="s">
        <v>116</v>
      </c>
      <c r="I11" s="6">
        <v>2395</v>
      </c>
      <c r="J11">
        <v>0</v>
      </c>
      <c r="K11">
        <v>0</v>
      </c>
    </row>
    <row r="12" spans="1:11" x14ac:dyDescent="0.25">
      <c r="A12">
        <v>31</v>
      </c>
      <c r="B12">
        <v>830058677</v>
      </c>
      <c r="C12">
        <v>7</v>
      </c>
      <c r="H12" t="s">
        <v>117</v>
      </c>
      <c r="I12" s="6">
        <v>811353</v>
      </c>
      <c r="J12">
        <v>0</v>
      </c>
      <c r="K12">
        <v>0</v>
      </c>
    </row>
    <row r="13" spans="1:11" x14ac:dyDescent="0.25">
      <c r="A13">
        <v>31</v>
      </c>
      <c r="B13">
        <v>860009578</v>
      </c>
      <c r="C13">
        <v>6</v>
      </c>
      <c r="H13" t="s">
        <v>118</v>
      </c>
      <c r="I13" s="6">
        <v>613317</v>
      </c>
      <c r="J13">
        <v>0</v>
      </c>
      <c r="K13">
        <v>0</v>
      </c>
    </row>
    <row r="14" spans="1:11" x14ac:dyDescent="0.25">
      <c r="A14">
        <v>31</v>
      </c>
      <c r="B14">
        <v>860034313</v>
      </c>
      <c r="C14">
        <v>7</v>
      </c>
      <c r="H14" t="s">
        <v>119</v>
      </c>
      <c r="I14" s="6">
        <v>40300</v>
      </c>
      <c r="J14">
        <v>0</v>
      </c>
      <c r="K14">
        <v>0</v>
      </c>
    </row>
    <row r="15" spans="1:11" x14ac:dyDescent="0.25">
      <c r="A15">
        <v>31</v>
      </c>
      <c r="B15">
        <v>860512330</v>
      </c>
      <c r="C15">
        <v>3</v>
      </c>
      <c r="H15" t="s">
        <v>120</v>
      </c>
      <c r="I15" s="6">
        <v>7761</v>
      </c>
      <c r="J15">
        <v>0</v>
      </c>
      <c r="K15">
        <v>0</v>
      </c>
    </row>
    <row r="16" spans="1:11" x14ac:dyDescent="0.25">
      <c r="A16">
        <v>31</v>
      </c>
      <c r="B16">
        <v>890319193</v>
      </c>
      <c r="C16">
        <v>3</v>
      </c>
      <c r="H16" t="s">
        <v>121</v>
      </c>
      <c r="I16" s="6">
        <v>1009660</v>
      </c>
      <c r="J16">
        <v>0</v>
      </c>
      <c r="K16">
        <v>0</v>
      </c>
    </row>
    <row r="17" spans="1:11" x14ac:dyDescent="0.25">
      <c r="A17">
        <v>31</v>
      </c>
      <c r="B17">
        <v>890903938</v>
      </c>
      <c r="C17">
        <v>8</v>
      </c>
      <c r="H17" t="s">
        <v>122</v>
      </c>
      <c r="I17" s="6">
        <v>251847</v>
      </c>
      <c r="J17">
        <v>0</v>
      </c>
      <c r="K17">
        <v>0</v>
      </c>
    </row>
    <row r="18" spans="1:11" x14ac:dyDescent="0.25">
      <c r="A18">
        <v>31</v>
      </c>
      <c r="B18">
        <v>891200727</v>
      </c>
      <c r="C18">
        <v>7</v>
      </c>
      <c r="H18" t="s">
        <v>123</v>
      </c>
      <c r="I18" s="6">
        <v>98353</v>
      </c>
      <c r="J18">
        <v>0</v>
      </c>
      <c r="K18">
        <v>0</v>
      </c>
    </row>
    <row r="19" spans="1:11" x14ac:dyDescent="0.25">
      <c r="A19">
        <v>31</v>
      </c>
      <c r="B19">
        <v>900031454</v>
      </c>
      <c r="C19">
        <v>8</v>
      </c>
      <c r="H19" t="s">
        <v>124</v>
      </c>
      <c r="I19" s="6">
        <v>325714</v>
      </c>
      <c r="J19">
        <v>0</v>
      </c>
      <c r="K19">
        <v>0</v>
      </c>
    </row>
    <row r="20" spans="1:11" x14ac:dyDescent="0.25">
      <c r="A20">
        <v>31</v>
      </c>
      <c r="B20">
        <v>900057647</v>
      </c>
      <c r="C20">
        <v>5</v>
      </c>
      <c r="H20" t="s">
        <v>125</v>
      </c>
      <c r="I20" s="6">
        <v>9580140</v>
      </c>
      <c r="J20">
        <v>0</v>
      </c>
      <c r="K20">
        <v>0</v>
      </c>
    </row>
    <row r="21" spans="1:11" x14ac:dyDescent="0.25">
      <c r="A21">
        <v>31</v>
      </c>
      <c r="B21">
        <v>900062612</v>
      </c>
      <c r="C21">
        <v>8</v>
      </c>
      <c r="H21" t="s">
        <v>18</v>
      </c>
      <c r="I21" s="6">
        <v>9556</v>
      </c>
      <c r="J21">
        <v>0</v>
      </c>
      <c r="K21">
        <v>0</v>
      </c>
    </row>
    <row r="22" spans="1:11" x14ac:dyDescent="0.25">
      <c r="A22">
        <v>31</v>
      </c>
      <c r="B22">
        <v>900163149</v>
      </c>
      <c r="C22">
        <v>2</v>
      </c>
      <c r="H22" t="s">
        <v>126</v>
      </c>
      <c r="I22" s="6">
        <v>129250</v>
      </c>
      <c r="J22">
        <v>0</v>
      </c>
      <c r="K22">
        <v>0</v>
      </c>
    </row>
    <row r="23" spans="1:11" x14ac:dyDescent="0.25">
      <c r="A23">
        <v>31</v>
      </c>
      <c r="B23">
        <v>900210800</v>
      </c>
      <c r="C23">
        <v>1</v>
      </c>
      <c r="H23" t="s">
        <v>127</v>
      </c>
      <c r="I23" s="6">
        <v>25080</v>
      </c>
      <c r="J23">
        <v>0</v>
      </c>
      <c r="K23">
        <v>0</v>
      </c>
    </row>
    <row r="24" spans="1:11" x14ac:dyDescent="0.25">
      <c r="A24">
        <v>31</v>
      </c>
      <c r="B24">
        <v>900276962</v>
      </c>
      <c r="C24">
        <v>1</v>
      </c>
      <c r="H24" t="s">
        <v>128</v>
      </c>
      <c r="I24" s="6">
        <v>21664</v>
      </c>
      <c r="J24">
        <v>0</v>
      </c>
      <c r="K24">
        <v>0</v>
      </c>
    </row>
    <row r="25" spans="1:11" x14ac:dyDescent="0.25">
      <c r="A25">
        <v>31</v>
      </c>
      <c r="B25">
        <v>900614138</v>
      </c>
      <c r="C25">
        <v>8</v>
      </c>
      <c r="H25" t="s">
        <v>129</v>
      </c>
      <c r="I25" s="6">
        <v>29640</v>
      </c>
      <c r="J25">
        <v>0</v>
      </c>
      <c r="K25">
        <v>0</v>
      </c>
    </row>
    <row r="26" spans="1:11" x14ac:dyDescent="0.25">
      <c r="A26">
        <v>31</v>
      </c>
      <c r="B26">
        <v>900643642</v>
      </c>
      <c r="C26">
        <v>2</v>
      </c>
      <c r="H26" t="s">
        <v>130</v>
      </c>
      <c r="I26" s="6">
        <v>11975</v>
      </c>
      <c r="J26">
        <v>0</v>
      </c>
      <c r="K26">
        <v>0</v>
      </c>
    </row>
    <row r="27" spans="1:11" x14ac:dyDescent="0.25">
      <c r="A27">
        <v>31</v>
      </c>
      <c r="B27">
        <v>901447446</v>
      </c>
      <c r="C27">
        <v>9</v>
      </c>
      <c r="H27" t="s">
        <v>131</v>
      </c>
      <c r="I27" s="6">
        <v>1852</v>
      </c>
      <c r="J27">
        <v>0</v>
      </c>
      <c r="K27">
        <v>0</v>
      </c>
    </row>
    <row r="28" spans="1:11" x14ac:dyDescent="0.25">
      <c r="A28">
        <v>31</v>
      </c>
      <c r="B28">
        <v>901735190</v>
      </c>
      <c r="C28">
        <v>4</v>
      </c>
      <c r="H28" t="s">
        <v>132</v>
      </c>
      <c r="I28" s="6">
        <v>68400</v>
      </c>
      <c r="J28">
        <v>0</v>
      </c>
      <c r="K28">
        <v>0</v>
      </c>
    </row>
    <row r="29" spans="1:11" x14ac:dyDescent="0.25">
      <c r="A29">
        <v>31</v>
      </c>
      <c r="B29">
        <v>901805593</v>
      </c>
      <c r="C29">
        <v>1</v>
      </c>
      <c r="H29" t="s">
        <v>133</v>
      </c>
      <c r="I29" s="6">
        <v>6973000</v>
      </c>
      <c r="J29">
        <v>0</v>
      </c>
      <c r="K29">
        <v>0</v>
      </c>
    </row>
    <row r="30" spans="1:11" x14ac:dyDescent="0.25">
      <c r="A30">
        <v>31</v>
      </c>
      <c r="B30">
        <v>901832829</v>
      </c>
      <c r="C30">
        <v>7</v>
      </c>
      <c r="H30" t="s">
        <v>134</v>
      </c>
      <c r="I30" s="6">
        <v>1277</v>
      </c>
      <c r="J30">
        <v>0</v>
      </c>
      <c r="K30">
        <v>0</v>
      </c>
    </row>
    <row r="31" spans="1:11" x14ac:dyDescent="0.25">
      <c r="A31">
        <v>13</v>
      </c>
      <c r="B31">
        <v>94449386</v>
      </c>
      <c r="D31" t="s">
        <v>764</v>
      </c>
      <c r="E31" t="s">
        <v>453</v>
      </c>
      <c r="F31" t="s">
        <v>143</v>
      </c>
      <c r="G31" t="s">
        <v>765</v>
      </c>
      <c r="H31" t="s">
        <v>135</v>
      </c>
      <c r="I31" s="6">
        <v>29554</v>
      </c>
      <c r="J31">
        <v>0</v>
      </c>
      <c r="K31">
        <v>0</v>
      </c>
    </row>
  </sheetData>
  <autoFilter ref="A1:J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J3"/>
  <sheetViews>
    <sheetView topLeftCell="A19" workbookViewId="0">
      <selection activeCell="I2" sqref="I2:I3"/>
    </sheetView>
  </sheetViews>
  <sheetFormatPr baseColWidth="10" defaultRowHeight="15" x14ac:dyDescent="0.25"/>
  <cols>
    <col min="1" max="1" width="14.28515625" bestFit="1" customWidth="1"/>
    <col min="2" max="2" width="10" bestFit="1" customWidth="1"/>
    <col min="3" max="3" width="3.85546875" bestFit="1" customWidth="1"/>
    <col min="4" max="4" width="11.140625" bestFit="1" customWidth="1"/>
    <col min="5" max="5" width="12.85546875" bestFit="1" customWidth="1"/>
    <col min="6" max="7" width="11.85546875" bestFit="1" customWidth="1"/>
    <col min="8" max="8" width="31.85546875" bestFit="1" customWidth="1"/>
    <col min="9" max="9" width="13" bestFit="1" customWidth="1"/>
    <col min="10" max="10" width="11.140625" bestFit="1" customWidth="1"/>
  </cols>
  <sheetData>
    <row r="1" spans="1:10" ht="45" x14ac:dyDescent="0.25">
      <c r="A1" s="10" t="s">
        <v>103</v>
      </c>
      <c r="B1" s="10" t="s">
        <v>104</v>
      </c>
      <c r="C1" s="10" t="s">
        <v>88</v>
      </c>
      <c r="D1" s="10" t="s">
        <v>105</v>
      </c>
      <c r="E1" s="10" t="s">
        <v>106</v>
      </c>
      <c r="F1" s="10" t="s">
        <v>107</v>
      </c>
      <c r="G1" s="10" t="s">
        <v>108</v>
      </c>
      <c r="H1" s="10" t="s">
        <v>109</v>
      </c>
      <c r="I1" s="10" t="s">
        <v>158</v>
      </c>
      <c r="J1" s="10" t="s">
        <v>111</v>
      </c>
    </row>
    <row r="2" spans="1:10" x14ac:dyDescent="0.25">
      <c r="A2">
        <v>31</v>
      </c>
      <c r="B2">
        <v>901021565</v>
      </c>
      <c r="C2">
        <v>1</v>
      </c>
      <c r="H2" t="s">
        <v>98</v>
      </c>
      <c r="I2">
        <v>408537425</v>
      </c>
      <c r="J2">
        <v>0</v>
      </c>
    </row>
    <row r="3" spans="1:10" x14ac:dyDescent="0.25">
      <c r="A3">
        <v>31</v>
      </c>
      <c r="B3">
        <v>900077584</v>
      </c>
      <c r="C3">
        <v>5</v>
      </c>
      <c r="H3" t="s">
        <v>102</v>
      </c>
      <c r="I3">
        <v>17636218</v>
      </c>
      <c r="J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L25"/>
  <sheetViews>
    <sheetView workbookViewId="0">
      <selection activeCell="A2" sqref="A2"/>
    </sheetView>
  </sheetViews>
  <sheetFormatPr baseColWidth="10" defaultRowHeight="15" x14ac:dyDescent="0.25"/>
  <cols>
    <col min="4" max="4" width="14.7109375" bestFit="1" customWidth="1"/>
    <col min="5" max="5" width="16.5703125" bestFit="1" customWidth="1"/>
    <col min="8" max="8" width="53" bestFit="1" customWidth="1"/>
    <col min="10" max="10" width="16.85546875" bestFit="1" customWidth="1"/>
  </cols>
  <sheetData>
    <row r="1" spans="1:12" x14ac:dyDescent="0.25">
      <c r="A1" s="11" t="s">
        <v>85</v>
      </c>
      <c r="B1" s="11" t="s">
        <v>86</v>
      </c>
      <c r="C1" s="11" t="s">
        <v>159</v>
      </c>
      <c r="D1" s="11" t="s">
        <v>160</v>
      </c>
      <c r="E1" s="11" t="s">
        <v>161</v>
      </c>
      <c r="F1" s="11" t="s">
        <v>162</v>
      </c>
      <c r="G1" s="11" t="s">
        <v>163</v>
      </c>
      <c r="H1" s="11" t="s">
        <v>164</v>
      </c>
      <c r="I1" s="11" t="s">
        <v>165</v>
      </c>
      <c r="J1" s="11" t="s">
        <v>166</v>
      </c>
      <c r="K1" s="11" t="s">
        <v>167</v>
      </c>
    </row>
    <row r="2" spans="1:12" x14ac:dyDescent="0.25">
      <c r="A2">
        <v>4001</v>
      </c>
      <c r="B2">
        <v>31</v>
      </c>
      <c r="C2">
        <v>900077584</v>
      </c>
      <c r="H2" t="s">
        <v>168</v>
      </c>
      <c r="I2">
        <v>169</v>
      </c>
      <c r="J2" s="6">
        <v>668886262</v>
      </c>
      <c r="K2">
        <v>0</v>
      </c>
      <c r="L2" s="6"/>
    </row>
    <row r="3" spans="1:12" x14ac:dyDescent="0.25">
      <c r="A3">
        <v>4001</v>
      </c>
      <c r="B3">
        <v>31</v>
      </c>
      <c r="C3">
        <v>901021565</v>
      </c>
      <c r="H3" t="s">
        <v>169</v>
      </c>
      <c r="I3">
        <v>169</v>
      </c>
      <c r="J3" s="6">
        <v>2617594323</v>
      </c>
      <c r="K3">
        <v>0</v>
      </c>
      <c r="L3" s="6"/>
    </row>
    <row r="4" spans="1:12" x14ac:dyDescent="0.25">
      <c r="A4">
        <v>4002</v>
      </c>
      <c r="B4">
        <v>31</v>
      </c>
      <c r="C4">
        <v>901021565</v>
      </c>
      <c r="H4" t="s">
        <v>169</v>
      </c>
      <c r="I4">
        <v>169</v>
      </c>
      <c r="J4" s="6">
        <v>194404321</v>
      </c>
      <c r="K4">
        <v>0</v>
      </c>
      <c r="L4" s="6"/>
    </row>
    <row r="5" spans="1:12" x14ac:dyDescent="0.25">
      <c r="A5">
        <v>4017</v>
      </c>
      <c r="B5">
        <v>31</v>
      </c>
      <c r="C5">
        <v>800226175</v>
      </c>
      <c r="H5" s="12" t="s">
        <v>170</v>
      </c>
      <c r="I5">
        <v>169</v>
      </c>
      <c r="J5" s="13">
        <v>290020</v>
      </c>
      <c r="K5">
        <v>0</v>
      </c>
    </row>
    <row r="6" spans="1:12" x14ac:dyDescent="0.25">
      <c r="A6">
        <v>4002</v>
      </c>
      <c r="B6">
        <v>31</v>
      </c>
      <c r="C6">
        <v>900062612</v>
      </c>
      <c r="H6" s="12" t="s">
        <v>18</v>
      </c>
      <c r="I6">
        <v>169</v>
      </c>
      <c r="J6" s="13">
        <v>185794</v>
      </c>
      <c r="K6">
        <v>0</v>
      </c>
    </row>
    <row r="7" spans="1:12" x14ac:dyDescent="0.25">
      <c r="A7">
        <v>4002</v>
      </c>
      <c r="B7">
        <v>31</v>
      </c>
      <c r="C7">
        <v>900057647</v>
      </c>
      <c r="H7" s="12" t="s">
        <v>125</v>
      </c>
      <c r="I7">
        <v>169</v>
      </c>
      <c r="J7" s="13">
        <v>8469672</v>
      </c>
      <c r="K7">
        <v>0</v>
      </c>
    </row>
    <row r="8" spans="1:12" x14ac:dyDescent="0.25">
      <c r="A8">
        <v>4002</v>
      </c>
      <c r="B8">
        <v>31</v>
      </c>
      <c r="C8">
        <v>800251440</v>
      </c>
      <c r="H8" s="12" t="s">
        <v>172</v>
      </c>
      <c r="I8">
        <v>169</v>
      </c>
      <c r="J8" s="13">
        <v>18534</v>
      </c>
      <c r="K8">
        <v>0</v>
      </c>
    </row>
    <row r="9" spans="1:12" x14ac:dyDescent="0.25">
      <c r="A9">
        <v>4002</v>
      </c>
      <c r="B9">
        <v>31</v>
      </c>
      <c r="C9">
        <v>900006037</v>
      </c>
      <c r="H9" s="12" t="s">
        <v>173</v>
      </c>
      <c r="I9">
        <v>169</v>
      </c>
      <c r="J9" s="13">
        <v>2482400</v>
      </c>
      <c r="K9">
        <v>0</v>
      </c>
    </row>
    <row r="10" spans="1:12" x14ac:dyDescent="0.25">
      <c r="A10">
        <v>4002</v>
      </c>
      <c r="B10">
        <v>31</v>
      </c>
      <c r="C10">
        <v>814006325</v>
      </c>
      <c r="H10" s="12" t="s">
        <v>116</v>
      </c>
      <c r="I10">
        <v>169</v>
      </c>
      <c r="J10" s="13">
        <v>369019</v>
      </c>
      <c r="K10">
        <v>0</v>
      </c>
    </row>
    <row r="11" spans="1:12" x14ac:dyDescent="0.25">
      <c r="A11">
        <v>4002</v>
      </c>
      <c r="B11">
        <v>31</v>
      </c>
      <c r="C11">
        <v>814006009</v>
      </c>
      <c r="H11" s="12" t="s">
        <v>174</v>
      </c>
      <c r="I11">
        <v>169</v>
      </c>
      <c r="J11" s="13">
        <v>326261</v>
      </c>
      <c r="K11">
        <v>0</v>
      </c>
    </row>
    <row r="12" spans="1:12" x14ac:dyDescent="0.25">
      <c r="A12">
        <v>4002</v>
      </c>
      <c r="B12">
        <v>31</v>
      </c>
      <c r="C12">
        <v>900971006</v>
      </c>
      <c r="H12" s="12" t="s">
        <v>175</v>
      </c>
      <c r="I12">
        <v>169</v>
      </c>
      <c r="J12" s="13">
        <v>287438</v>
      </c>
      <c r="K12">
        <v>0</v>
      </c>
    </row>
    <row r="13" spans="1:12" x14ac:dyDescent="0.25">
      <c r="A13">
        <v>4002</v>
      </c>
      <c r="B13">
        <v>31</v>
      </c>
      <c r="C13">
        <v>814000337</v>
      </c>
      <c r="H13" t="s">
        <v>176</v>
      </c>
      <c r="I13">
        <v>169</v>
      </c>
      <c r="J13" s="13">
        <v>712199</v>
      </c>
      <c r="K13">
        <v>0</v>
      </c>
    </row>
    <row r="14" spans="1:12" x14ac:dyDescent="0.25">
      <c r="A14">
        <v>4002</v>
      </c>
      <c r="B14">
        <v>31</v>
      </c>
      <c r="C14">
        <v>860034313</v>
      </c>
      <c r="H14" t="s">
        <v>119</v>
      </c>
      <c r="I14">
        <v>169</v>
      </c>
      <c r="J14" s="13">
        <v>5849</v>
      </c>
      <c r="K14">
        <v>0</v>
      </c>
    </row>
    <row r="15" spans="1:12" x14ac:dyDescent="0.25">
      <c r="A15">
        <v>4002</v>
      </c>
      <c r="B15">
        <v>31</v>
      </c>
      <c r="C15">
        <v>890903938</v>
      </c>
      <c r="H15" t="s">
        <v>122</v>
      </c>
      <c r="I15">
        <v>169</v>
      </c>
      <c r="J15" s="13">
        <v>1296997</v>
      </c>
      <c r="K15">
        <v>0</v>
      </c>
    </row>
    <row r="16" spans="1:12" x14ac:dyDescent="0.25">
      <c r="A16">
        <v>4002</v>
      </c>
      <c r="B16">
        <v>31</v>
      </c>
      <c r="C16">
        <v>891280005</v>
      </c>
      <c r="H16" t="s">
        <v>177</v>
      </c>
      <c r="I16">
        <v>169</v>
      </c>
      <c r="J16" s="13">
        <v>58000</v>
      </c>
      <c r="K16">
        <v>0</v>
      </c>
    </row>
    <row r="17" spans="1:11" x14ac:dyDescent="0.25">
      <c r="A17">
        <v>4002</v>
      </c>
      <c r="B17">
        <v>31</v>
      </c>
      <c r="C17">
        <v>800226175</v>
      </c>
      <c r="H17" t="s">
        <v>170</v>
      </c>
      <c r="I17">
        <v>169</v>
      </c>
      <c r="J17" s="13">
        <v>13463394</v>
      </c>
      <c r="K17">
        <v>0</v>
      </c>
    </row>
    <row r="18" spans="1:11" x14ac:dyDescent="0.25">
      <c r="A18">
        <v>4002</v>
      </c>
      <c r="B18">
        <v>31</v>
      </c>
      <c r="C18">
        <v>900077584</v>
      </c>
      <c r="H18" t="s">
        <v>171</v>
      </c>
      <c r="I18">
        <v>169</v>
      </c>
      <c r="J18" s="13">
        <v>6652891</v>
      </c>
      <c r="K18">
        <v>0</v>
      </c>
    </row>
    <row r="19" spans="1:11" x14ac:dyDescent="0.25">
      <c r="A19">
        <v>4002</v>
      </c>
      <c r="B19">
        <v>31</v>
      </c>
      <c r="C19">
        <v>800197268</v>
      </c>
      <c r="H19" t="s">
        <v>39</v>
      </c>
      <c r="I19">
        <v>169</v>
      </c>
      <c r="J19" s="13">
        <v>13234372</v>
      </c>
      <c r="K19">
        <v>0</v>
      </c>
    </row>
    <row r="20" spans="1:11" x14ac:dyDescent="0.25">
      <c r="A20">
        <v>4002</v>
      </c>
      <c r="B20">
        <v>31</v>
      </c>
      <c r="C20">
        <v>800180687</v>
      </c>
      <c r="H20" t="s">
        <v>178</v>
      </c>
      <c r="I20">
        <v>169</v>
      </c>
      <c r="J20" s="13">
        <v>35261520</v>
      </c>
      <c r="K20">
        <v>0</v>
      </c>
    </row>
    <row r="21" spans="1:11" x14ac:dyDescent="0.25">
      <c r="A21">
        <v>4002</v>
      </c>
      <c r="B21">
        <v>31</v>
      </c>
      <c r="C21">
        <v>900245045</v>
      </c>
      <c r="H21" t="s">
        <v>179</v>
      </c>
      <c r="I21">
        <v>169</v>
      </c>
      <c r="J21" s="13">
        <v>13230000</v>
      </c>
      <c r="K21">
        <v>0</v>
      </c>
    </row>
    <row r="22" spans="1:11" x14ac:dyDescent="0.25">
      <c r="A22">
        <v>4002</v>
      </c>
      <c r="B22">
        <v>31</v>
      </c>
      <c r="C22">
        <v>891280000</v>
      </c>
      <c r="H22" t="s">
        <v>180</v>
      </c>
      <c r="I22">
        <v>169</v>
      </c>
      <c r="J22" s="13">
        <v>418</v>
      </c>
      <c r="K22">
        <v>0</v>
      </c>
    </row>
    <row r="23" spans="1:11" x14ac:dyDescent="0.25">
      <c r="A23">
        <v>4002</v>
      </c>
      <c r="B23">
        <v>31</v>
      </c>
      <c r="C23">
        <v>800128735</v>
      </c>
      <c r="H23" t="s">
        <v>181</v>
      </c>
      <c r="I23">
        <v>169</v>
      </c>
      <c r="J23" s="13">
        <v>480545</v>
      </c>
      <c r="K23">
        <v>0</v>
      </c>
    </row>
    <row r="25" spans="1:11" x14ac:dyDescent="0.25">
      <c r="J25" s="6"/>
    </row>
  </sheetData>
  <autoFilter ref="A1:K23"/>
  <conditionalFormatting sqref="C2:C23">
    <cfRule type="duplicateValues" dxfId="4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O32"/>
  <sheetViews>
    <sheetView topLeftCell="E1" workbookViewId="0">
      <selection activeCell="I13" sqref="I13"/>
    </sheetView>
  </sheetViews>
  <sheetFormatPr baseColWidth="10" defaultRowHeight="15" x14ac:dyDescent="0.25"/>
  <cols>
    <col min="5" max="5" width="45.28515625" bestFit="1" customWidth="1"/>
    <col min="9" max="9" width="45.28515625" bestFit="1" customWidth="1"/>
    <col min="10" max="10" width="32.5703125" bestFit="1" customWidth="1"/>
    <col min="14" max="14" width="15.140625" bestFit="1" customWidth="1"/>
  </cols>
  <sheetData>
    <row r="1" spans="1:14" ht="42" x14ac:dyDescent="0.25">
      <c r="A1" s="15" t="s">
        <v>85</v>
      </c>
      <c r="B1" s="15" t="s">
        <v>86</v>
      </c>
      <c r="C1" s="16" t="s">
        <v>159</v>
      </c>
      <c r="D1" s="15" t="s">
        <v>245</v>
      </c>
      <c r="E1" s="15" t="s">
        <v>160</v>
      </c>
      <c r="F1" s="15" t="s">
        <v>161</v>
      </c>
      <c r="G1" s="15" t="s">
        <v>162</v>
      </c>
      <c r="H1" s="15" t="s">
        <v>163</v>
      </c>
      <c r="I1" s="15" t="s">
        <v>164</v>
      </c>
      <c r="J1" s="15" t="s">
        <v>4</v>
      </c>
      <c r="K1" s="15" t="s">
        <v>94</v>
      </c>
      <c r="L1" s="15" t="s">
        <v>246</v>
      </c>
      <c r="M1" s="15" t="s">
        <v>165</v>
      </c>
      <c r="N1" s="16" t="s">
        <v>247</v>
      </c>
    </row>
    <row r="2" spans="1:14" x14ac:dyDescent="0.25">
      <c r="A2">
        <v>1315</v>
      </c>
      <c r="B2">
        <v>31</v>
      </c>
      <c r="C2">
        <v>814006009</v>
      </c>
      <c r="D2">
        <v>6</v>
      </c>
      <c r="I2" s="21" t="s">
        <v>192</v>
      </c>
      <c r="J2" t="s">
        <v>193</v>
      </c>
      <c r="K2">
        <v>52</v>
      </c>
      <c r="L2" s="5" t="s">
        <v>386</v>
      </c>
      <c r="M2">
        <v>169</v>
      </c>
      <c r="N2">
        <v>3515742</v>
      </c>
    </row>
    <row r="3" spans="1:14" x14ac:dyDescent="0.25">
      <c r="A3">
        <v>1315</v>
      </c>
      <c r="B3">
        <v>31</v>
      </c>
      <c r="C3">
        <v>814006325</v>
      </c>
      <c r="D3">
        <v>9</v>
      </c>
      <c r="I3" t="s">
        <v>116</v>
      </c>
      <c r="J3" t="s">
        <v>195</v>
      </c>
      <c r="K3">
        <v>52</v>
      </c>
      <c r="L3" s="5" t="s">
        <v>386</v>
      </c>
      <c r="M3">
        <v>169</v>
      </c>
      <c r="N3">
        <v>3976500</v>
      </c>
    </row>
    <row r="4" spans="1:14" x14ac:dyDescent="0.25">
      <c r="A4">
        <v>1315</v>
      </c>
      <c r="B4">
        <v>31</v>
      </c>
      <c r="C4">
        <v>900057647</v>
      </c>
      <c r="D4">
        <v>5</v>
      </c>
      <c r="I4" t="s">
        <v>196</v>
      </c>
      <c r="J4" t="s">
        <v>198</v>
      </c>
      <c r="K4">
        <v>52</v>
      </c>
      <c r="L4" s="5" t="s">
        <v>386</v>
      </c>
      <c r="M4">
        <v>169</v>
      </c>
      <c r="N4">
        <v>81704025</v>
      </c>
    </row>
    <row r="5" spans="1:14" x14ac:dyDescent="0.25">
      <c r="A5">
        <v>1315</v>
      </c>
      <c r="B5">
        <v>31</v>
      </c>
      <c r="C5">
        <v>900062612</v>
      </c>
      <c r="D5">
        <v>8</v>
      </c>
      <c r="I5" t="s">
        <v>199</v>
      </c>
      <c r="J5" t="s">
        <v>28</v>
      </c>
      <c r="K5">
        <v>52</v>
      </c>
      <c r="L5" s="5" t="s">
        <v>386</v>
      </c>
      <c r="M5">
        <v>169</v>
      </c>
      <c r="N5">
        <v>153606010</v>
      </c>
    </row>
    <row r="6" spans="1:14" x14ac:dyDescent="0.25">
      <c r="A6">
        <v>1315</v>
      </c>
      <c r="B6">
        <v>31</v>
      </c>
      <c r="C6">
        <v>900077584</v>
      </c>
      <c r="D6">
        <v>5</v>
      </c>
      <c r="I6" t="s">
        <v>201</v>
      </c>
      <c r="J6" t="s">
        <v>202</v>
      </c>
      <c r="K6">
        <v>52</v>
      </c>
      <c r="L6" s="5" t="s">
        <v>386</v>
      </c>
      <c r="M6">
        <v>169</v>
      </c>
      <c r="N6">
        <v>292154792.80000001</v>
      </c>
    </row>
    <row r="7" spans="1:14" x14ac:dyDescent="0.25">
      <c r="A7">
        <v>1315</v>
      </c>
      <c r="B7">
        <v>31</v>
      </c>
      <c r="C7">
        <v>901021565</v>
      </c>
      <c r="D7">
        <v>8</v>
      </c>
      <c r="I7" t="s">
        <v>203</v>
      </c>
      <c r="J7" t="s">
        <v>383</v>
      </c>
      <c r="K7">
        <v>52</v>
      </c>
      <c r="L7" s="5" t="s">
        <v>386</v>
      </c>
      <c r="M7">
        <v>169</v>
      </c>
      <c r="N7">
        <v>788305800</v>
      </c>
    </row>
    <row r="8" spans="1:14" x14ac:dyDescent="0.25">
      <c r="A8">
        <v>1315</v>
      </c>
      <c r="B8">
        <v>31</v>
      </c>
      <c r="C8">
        <v>900562602</v>
      </c>
      <c r="D8">
        <v>1</v>
      </c>
      <c r="I8" t="s">
        <v>204</v>
      </c>
      <c r="J8" t="s">
        <v>206</v>
      </c>
      <c r="K8">
        <v>52</v>
      </c>
      <c r="L8" s="5" t="s">
        <v>386</v>
      </c>
      <c r="M8">
        <v>169</v>
      </c>
      <c r="N8">
        <v>2117100</v>
      </c>
    </row>
    <row r="9" spans="1:14" x14ac:dyDescent="0.25">
      <c r="A9">
        <v>1315</v>
      </c>
      <c r="B9">
        <v>13</v>
      </c>
      <c r="C9">
        <v>1080690236</v>
      </c>
      <c r="D9">
        <v>2</v>
      </c>
      <c r="E9" t="s">
        <v>343</v>
      </c>
      <c r="F9" t="s">
        <v>344</v>
      </c>
      <c r="G9" t="s">
        <v>345</v>
      </c>
      <c r="H9" t="s">
        <v>346</v>
      </c>
      <c r="J9" t="s">
        <v>209</v>
      </c>
      <c r="K9">
        <v>52</v>
      </c>
      <c r="L9" s="5" t="s">
        <v>386</v>
      </c>
      <c r="M9">
        <v>169</v>
      </c>
      <c r="N9">
        <v>600000</v>
      </c>
    </row>
    <row r="10" spans="1:14" x14ac:dyDescent="0.25">
      <c r="A10">
        <v>1315</v>
      </c>
      <c r="B10">
        <v>13</v>
      </c>
      <c r="C10">
        <v>1085254570</v>
      </c>
      <c r="D10">
        <v>7</v>
      </c>
      <c r="E10" t="s">
        <v>347</v>
      </c>
      <c r="F10" t="s">
        <v>348</v>
      </c>
      <c r="G10" t="s">
        <v>349</v>
      </c>
      <c r="H10" t="s">
        <v>350</v>
      </c>
      <c r="J10" t="s">
        <v>211</v>
      </c>
      <c r="K10">
        <v>52</v>
      </c>
      <c r="L10" s="5" t="s">
        <v>386</v>
      </c>
      <c r="M10">
        <v>169</v>
      </c>
      <c r="N10">
        <v>9000000</v>
      </c>
    </row>
    <row r="11" spans="1:14" x14ac:dyDescent="0.25">
      <c r="A11">
        <v>1315</v>
      </c>
      <c r="B11">
        <v>13</v>
      </c>
      <c r="C11">
        <v>1113634646</v>
      </c>
      <c r="D11">
        <v>1</v>
      </c>
      <c r="E11" t="s">
        <v>351</v>
      </c>
      <c r="F11" t="s">
        <v>352</v>
      </c>
      <c r="G11" t="s">
        <v>345</v>
      </c>
      <c r="H11" t="s">
        <v>353</v>
      </c>
      <c r="J11" t="s">
        <v>214</v>
      </c>
      <c r="K11">
        <v>52</v>
      </c>
      <c r="L11" s="5" t="s">
        <v>386</v>
      </c>
      <c r="M11">
        <v>169</v>
      </c>
      <c r="N11">
        <v>9000000</v>
      </c>
    </row>
    <row r="12" spans="1:14" x14ac:dyDescent="0.25">
      <c r="A12">
        <v>1315</v>
      </c>
      <c r="B12">
        <v>13</v>
      </c>
      <c r="C12">
        <v>12979678</v>
      </c>
      <c r="D12">
        <v>9</v>
      </c>
      <c r="E12" t="s">
        <v>354</v>
      </c>
      <c r="F12" t="s">
        <v>355</v>
      </c>
      <c r="G12" t="s">
        <v>356</v>
      </c>
      <c r="H12" t="s">
        <v>357</v>
      </c>
      <c r="J12" t="s">
        <v>216</v>
      </c>
      <c r="K12">
        <v>52</v>
      </c>
      <c r="L12" s="5" t="s">
        <v>386</v>
      </c>
      <c r="M12">
        <v>169</v>
      </c>
      <c r="N12">
        <v>11080000</v>
      </c>
    </row>
    <row r="13" spans="1:14" x14ac:dyDescent="0.25">
      <c r="A13">
        <v>1315</v>
      </c>
      <c r="B13">
        <v>13</v>
      </c>
      <c r="C13">
        <v>16738238</v>
      </c>
      <c r="D13">
        <v>2</v>
      </c>
      <c r="E13" t="s">
        <v>358</v>
      </c>
      <c r="F13" t="s">
        <v>359</v>
      </c>
      <c r="G13" t="s">
        <v>360</v>
      </c>
      <c r="H13" t="s">
        <v>361</v>
      </c>
      <c r="J13" t="s">
        <v>218</v>
      </c>
      <c r="K13">
        <v>52</v>
      </c>
      <c r="L13" s="5" t="s">
        <v>386</v>
      </c>
      <c r="M13">
        <v>169</v>
      </c>
      <c r="N13">
        <v>32000000</v>
      </c>
    </row>
    <row r="14" spans="1:14" x14ac:dyDescent="0.25">
      <c r="A14">
        <v>1315</v>
      </c>
      <c r="B14">
        <v>13</v>
      </c>
      <c r="C14">
        <v>59314743</v>
      </c>
      <c r="D14">
        <v>7</v>
      </c>
      <c r="E14" t="s">
        <v>362</v>
      </c>
      <c r="F14" t="s">
        <v>363</v>
      </c>
      <c r="G14" t="s">
        <v>364</v>
      </c>
      <c r="H14" t="s">
        <v>365</v>
      </c>
      <c r="J14" t="s">
        <v>220</v>
      </c>
      <c r="K14">
        <v>52</v>
      </c>
      <c r="L14" s="5" t="s">
        <v>386</v>
      </c>
      <c r="M14">
        <v>169</v>
      </c>
      <c r="N14">
        <v>6934722</v>
      </c>
    </row>
    <row r="15" spans="1:14" x14ac:dyDescent="0.25">
      <c r="A15">
        <v>1315</v>
      </c>
      <c r="B15">
        <v>13</v>
      </c>
      <c r="C15">
        <v>59678077</v>
      </c>
      <c r="D15">
        <v>1</v>
      </c>
      <c r="E15" t="s">
        <v>366</v>
      </c>
      <c r="F15" t="s">
        <v>367</v>
      </c>
      <c r="G15" t="s">
        <v>141</v>
      </c>
      <c r="H15" t="s">
        <v>368</v>
      </c>
      <c r="J15" t="s">
        <v>222</v>
      </c>
      <c r="K15">
        <v>52</v>
      </c>
      <c r="L15" s="5" t="s">
        <v>386</v>
      </c>
      <c r="M15">
        <v>169</v>
      </c>
      <c r="N15">
        <v>32500000</v>
      </c>
    </row>
    <row r="16" spans="1:14" x14ac:dyDescent="0.25">
      <c r="A16">
        <v>1315</v>
      </c>
      <c r="B16">
        <v>13</v>
      </c>
      <c r="C16">
        <v>900163149</v>
      </c>
      <c r="D16">
        <v>2</v>
      </c>
      <c r="I16" t="s">
        <v>126</v>
      </c>
      <c r="J16" t="s">
        <v>223</v>
      </c>
      <c r="K16">
        <v>52</v>
      </c>
      <c r="L16" s="5" t="s">
        <v>386</v>
      </c>
      <c r="M16">
        <v>169</v>
      </c>
      <c r="N16">
        <v>160650</v>
      </c>
    </row>
    <row r="17" spans="1:15" x14ac:dyDescent="0.25">
      <c r="A17">
        <v>1315</v>
      </c>
      <c r="B17">
        <v>13</v>
      </c>
      <c r="C17">
        <v>98388842</v>
      </c>
      <c r="D17">
        <v>7</v>
      </c>
      <c r="E17" t="s">
        <v>369</v>
      </c>
      <c r="F17" t="s">
        <v>370</v>
      </c>
      <c r="G17" t="s">
        <v>371</v>
      </c>
      <c r="H17" t="s">
        <v>372</v>
      </c>
      <c r="J17" t="s">
        <v>226</v>
      </c>
      <c r="K17">
        <v>52</v>
      </c>
      <c r="L17" s="5" t="s">
        <v>386</v>
      </c>
      <c r="M17">
        <v>169</v>
      </c>
      <c r="N17">
        <v>9227493</v>
      </c>
    </row>
    <row r="18" spans="1:15" x14ac:dyDescent="0.25">
      <c r="A18">
        <v>1315</v>
      </c>
      <c r="B18">
        <v>31</v>
      </c>
      <c r="C18">
        <v>800226175</v>
      </c>
      <c r="D18">
        <v>3</v>
      </c>
      <c r="I18" t="s">
        <v>170</v>
      </c>
      <c r="J18" t="s">
        <v>227</v>
      </c>
      <c r="K18">
        <v>52</v>
      </c>
      <c r="L18" s="5" t="s">
        <v>386</v>
      </c>
      <c r="M18">
        <v>169</v>
      </c>
      <c r="N18">
        <v>4525097</v>
      </c>
    </row>
    <row r="19" spans="1:15" x14ac:dyDescent="0.25">
      <c r="A19">
        <v>1315</v>
      </c>
      <c r="B19">
        <v>31</v>
      </c>
      <c r="C19">
        <v>800251440</v>
      </c>
      <c r="D19">
        <v>6</v>
      </c>
      <c r="I19" t="s">
        <v>172</v>
      </c>
      <c r="J19" t="s">
        <v>228</v>
      </c>
      <c r="K19">
        <v>52</v>
      </c>
      <c r="L19" s="5" t="s">
        <v>386</v>
      </c>
      <c r="M19">
        <v>169</v>
      </c>
      <c r="N19">
        <v>2840573</v>
      </c>
    </row>
    <row r="20" spans="1:15" x14ac:dyDescent="0.25">
      <c r="A20">
        <v>1315</v>
      </c>
      <c r="B20">
        <v>31</v>
      </c>
      <c r="C20">
        <v>900156264</v>
      </c>
      <c r="D20">
        <v>2</v>
      </c>
      <c r="I20" t="s">
        <v>229</v>
      </c>
      <c r="J20" t="s">
        <v>230</v>
      </c>
      <c r="K20">
        <v>52</v>
      </c>
      <c r="L20" s="5" t="s">
        <v>386</v>
      </c>
      <c r="M20">
        <v>169</v>
      </c>
      <c r="N20">
        <v>1088527</v>
      </c>
    </row>
    <row r="21" spans="1:15" x14ac:dyDescent="0.25">
      <c r="A21">
        <v>1315</v>
      </c>
      <c r="B21">
        <v>13</v>
      </c>
      <c r="C21">
        <v>1085288640</v>
      </c>
      <c r="D21">
        <v>0</v>
      </c>
      <c r="E21" t="s">
        <v>373</v>
      </c>
      <c r="F21" t="s">
        <v>374</v>
      </c>
      <c r="G21" t="s">
        <v>375</v>
      </c>
      <c r="H21" t="s">
        <v>376</v>
      </c>
      <c r="J21" t="s">
        <v>232</v>
      </c>
      <c r="K21">
        <v>52</v>
      </c>
      <c r="L21" s="5" t="s">
        <v>386</v>
      </c>
      <c r="M21">
        <v>169</v>
      </c>
      <c r="N21">
        <v>560000</v>
      </c>
    </row>
    <row r="22" spans="1:15" x14ac:dyDescent="0.25">
      <c r="A22">
        <v>1315</v>
      </c>
      <c r="B22">
        <v>13</v>
      </c>
      <c r="C22">
        <v>66981872</v>
      </c>
      <c r="D22">
        <v>4</v>
      </c>
      <c r="E22" t="s">
        <v>377</v>
      </c>
      <c r="F22" t="s">
        <v>378</v>
      </c>
      <c r="G22" t="s">
        <v>379</v>
      </c>
      <c r="J22" t="s">
        <v>234</v>
      </c>
      <c r="K22">
        <v>52</v>
      </c>
      <c r="L22" s="5" t="s">
        <v>386</v>
      </c>
      <c r="M22">
        <v>169</v>
      </c>
      <c r="N22">
        <v>1853738</v>
      </c>
    </row>
    <row r="23" spans="1:15" x14ac:dyDescent="0.25">
      <c r="A23">
        <v>1315</v>
      </c>
      <c r="B23">
        <v>13</v>
      </c>
      <c r="C23">
        <v>98388779</v>
      </c>
      <c r="D23">
        <v>0</v>
      </c>
      <c r="E23" t="s">
        <v>380</v>
      </c>
      <c r="F23" t="s">
        <v>381</v>
      </c>
      <c r="G23" t="s">
        <v>382</v>
      </c>
      <c r="H23" t="s">
        <v>154</v>
      </c>
      <c r="J23" t="s">
        <v>236</v>
      </c>
      <c r="K23">
        <v>52</v>
      </c>
      <c r="L23" s="5" t="s">
        <v>386</v>
      </c>
      <c r="M23">
        <v>169</v>
      </c>
      <c r="N23">
        <v>2227257</v>
      </c>
    </row>
    <row r="24" spans="1:15" x14ac:dyDescent="0.25">
      <c r="A24">
        <v>1315</v>
      </c>
      <c r="B24">
        <v>31</v>
      </c>
      <c r="C24">
        <v>860034313</v>
      </c>
      <c r="D24">
        <v>7</v>
      </c>
      <c r="I24" t="s">
        <v>119</v>
      </c>
      <c r="J24" t="s">
        <v>237</v>
      </c>
      <c r="K24">
        <v>52</v>
      </c>
      <c r="L24" s="5" t="s">
        <v>386</v>
      </c>
      <c r="M24">
        <v>169</v>
      </c>
      <c r="N24">
        <v>4635766.82</v>
      </c>
    </row>
    <row r="25" spans="1:15" x14ac:dyDescent="0.25">
      <c r="A25">
        <v>1315</v>
      </c>
      <c r="B25">
        <v>31</v>
      </c>
      <c r="C25">
        <v>890980727</v>
      </c>
      <c r="D25">
        <v>9</v>
      </c>
      <c r="I25" t="s">
        <v>238</v>
      </c>
      <c r="J25" t="s">
        <v>239</v>
      </c>
      <c r="K25">
        <v>52</v>
      </c>
      <c r="L25" s="5" t="s">
        <v>386</v>
      </c>
      <c r="M25">
        <v>169</v>
      </c>
      <c r="N25">
        <v>1912724</v>
      </c>
    </row>
    <row r="26" spans="1:15" x14ac:dyDescent="0.25">
      <c r="A26">
        <v>1315</v>
      </c>
      <c r="B26">
        <v>31</v>
      </c>
      <c r="C26">
        <v>900006037</v>
      </c>
      <c r="D26">
        <v>4</v>
      </c>
      <c r="I26" t="s">
        <v>173</v>
      </c>
      <c r="J26" t="s">
        <v>240</v>
      </c>
      <c r="K26">
        <v>52</v>
      </c>
      <c r="L26" s="5" t="s">
        <v>386</v>
      </c>
      <c r="M26">
        <v>169</v>
      </c>
      <c r="N26">
        <v>40755712</v>
      </c>
    </row>
    <row r="27" spans="1:15" x14ac:dyDescent="0.25">
      <c r="A27">
        <v>1315</v>
      </c>
      <c r="B27">
        <v>31</v>
      </c>
      <c r="C27">
        <v>900959051</v>
      </c>
      <c r="D27">
        <v>7</v>
      </c>
      <c r="I27" t="s">
        <v>241</v>
      </c>
      <c r="J27" t="s">
        <v>242</v>
      </c>
      <c r="K27">
        <v>52</v>
      </c>
      <c r="L27" s="5" t="s">
        <v>386</v>
      </c>
      <c r="M27">
        <v>169</v>
      </c>
      <c r="N27">
        <v>23447101</v>
      </c>
    </row>
    <row r="28" spans="1:15" x14ac:dyDescent="0.25">
      <c r="A28">
        <v>1315</v>
      </c>
      <c r="B28">
        <v>31</v>
      </c>
      <c r="C28">
        <v>900971006</v>
      </c>
      <c r="D28">
        <v>4</v>
      </c>
      <c r="I28" t="s">
        <v>243</v>
      </c>
      <c r="J28" t="s">
        <v>244</v>
      </c>
      <c r="K28">
        <v>52</v>
      </c>
      <c r="L28" s="5" t="s">
        <v>386</v>
      </c>
      <c r="M28">
        <v>169</v>
      </c>
      <c r="N28">
        <v>3097387</v>
      </c>
    </row>
    <row r="29" spans="1:15" x14ac:dyDescent="0.25">
      <c r="K29" t="s">
        <v>384</v>
      </c>
      <c r="L29" t="s">
        <v>384</v>
      </c>
      <c r="M29" t="s">
        <v>384</v>
      </c>
      <c r="N29" t="s">
        <v>384</v>
      </c>
      <c r="O29" t="s">
        <v>385</v>
      </c>
    </row>
    <row r="32" spans="1:15" x14ac:dyDescent="0.25">
      <c r="N32" s="6">
        <f>SUBTOTAL(9,N2:N31)</f>
        <v>1522826717.6199999</v>
      </c>
    </row>
  </sheetData>
  <autoFilter ref="A1:N29"/>
  <conditionalFormatting sqref="C2:C28">
    <cfRule type="duplicateValues" dxfId="3" priority="9"/>
  </conditionalFormatting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N129"/>
  <sheetViews>
    <sheetView workbookViewId="0">
      <selection activeCell="J15" sqref="J15"/>
    </sheetView>
  </sheetViews>
  <sheetFormatPr baseColWidth="10" defaultRowHeight="15" x14ac:dyDescent="0.25"/>
  <cols>
    <col min="3" max="3" width="11.42578125" style="18"/>
    <col min="9" max="9" width="46.28515625" bestFit="1" customWidth="1"/>
    <col min="10" max="10" width="41.140625" bestFit="1" customWidth="1"/>
    <col min="14" max="14" width="15.42578125" bestFit="1" customWidth="1"/>
  </cols>
  <sheetData>
    <row r="1" spans="1:14" ht="45" x14ac:dyDescent="0.25">
      <c r="A1" s="23" t="s">
        <v>85</v>
      </c>
      <c r="B1" s="23" t="s">
        <v>86</v>
      </c>
      <c r="C1" s="24" t="s">
        <v>387</v>
      </c>
      <c r="D1" s="23" t="s">
        <v>245</v>
      </c>
      <c r="E1" s="23" t="s">
        <v>160</v>
      </c>
      <c r="F1" s="23" t="s">
        <v>161</v>
      </c>
      <c r="G1" s="23" t="s">
        <v>162</v>
      </c>
      <c r="H1" s="23" t="s">
        <v>163</v>
      </c>
      <c r="I1" s="23" t="s">
        <v>164</v>
      </c>
      <c r="J1" s="23" t="s">
        <v>4</v>
      </c>
      <c r="K1" s="23" t="s">
        <v>94</v>
      </c>
      <c r="L1" s="23" t="s">
        <v>95</v>
      </c>
      <c r="M1" s="23" t="s">
        <v>165</v>
      </c>
      <c r="N1" s="2" t="s">
        <v>388</v>
      </c>
    </row>
    <row r="2" spans="1:14" x14ac:dyDescent="0.25">
      <c r="A2">
        <v>2201</v>
      </c>
      <c r="B2">
        <v>31</v>
      </c>
      <c r="C2" s="18">
        <v>900077584</v>
      </c>
      <c r="D2">
        <v>5</v>
      </c>
      <c r="I2" t="s">
        <v>201</v>
      </c>
      <c r="J2" t="s">
        <v>202</v>
      </c>
      <c r="K2">
        <v>52</v>
      </c>
      <c r="L2" s="5" t="s">
        <v>100</v>
      </c>
      <c r="M2">
        <v>169</v>
      </c>
      <c r="N2">
        <v>183500</v>
      </c>
    </row>
    <row r="3" spans="1:14" x14ac:dyDescent="0.25">
      <c r="A3">
        <v>2201</v>
      </c>
      <c r="B3">
        <v>13</v>
      </c>
      <c r="C3" s="18">
        <v>27224404</v>
      </c>
      <c r="E3" t="s">
        <v>389</v>
      </c>
      <c r="F3" t="s">
        <v>390</v>
      </c>
      <c r="G3" t="s">
        <v>603</v>
      </c>
      <c r="H3" t="s">
        <v>604</v>
      </c>
      <c r="J3" t="s">
        <v>533</v>
      </c>
      <c r="K3">
        <v>52</v>
      </c>
      <c r="L3" s="18">
        <v>323</v>
      </c>
      <c r="M3">
        <v>169</v>
      </c>
      <c r="N3">
        <v>2240008</v>
      </c>
    </row>
    <row r="4" spans="1:14" x14ac:dyDescent="0.25">
      <c r="A4">
        <v>2201</v>
      </c>
      <c r="B4">
        <v>13</v>
      </c>
      <c r="C4" s="18">
        <v>5332602</v>
      </c>
      <c r="E4" t="s">
        <v>391</v>
      </c>
      <c r="G4" t="s">
        <v>605</v>
      </c>
      <c r="H4" t="s">
        <v>606</v>
      </c>
      <c r="J4" t="s">
        <v>707</v>
      </c>
      <c r="K4">
        <v>52</v>
      </c>
      <c r="L4" s="18">
        <v>683</v>
      </c>
      <c r="M4">
        <v>169</v>
      </c>
      <c r="N4">
        <v>2240008</v>
      </c>
    </row>
    <row r="5" spans="1:14" x14ac:dyDescent="0.25">
      <c r="A5">
        <v>2201</v>
      </c>
      <c r="B5">
        <v>13</v>
      </c>
      <c r="C5" s="18">
        <v>1107516919</v>
      </c>
      <c r="E5" t="s">
        <v>392</v>
      </c>
      <c r="F5" t="s">
        <v>393</v>
      </c>
      <c r="G5" t="s">
        <v>372</v>
      </c>
      <c r="H5" t="s">
        <v>607</v>
      </c>
      <c r="J5" t="s">
        <v>534</v>
      </c>
      <c r="K5">
        <v>76</v>
      </c>
      <c r="L5" s="25" t="s">
        <v>100</v>
      </c>
      <c r="M5">
        <v>169</v>
      </c>
      <c r="N5">
        <v>2208796</v>
      </c>
    </row>
    <row r="6" spans="1:14" x14ac:dyDescent="0.25">
      <c r="A6">
        <v>2201</v>
      </c>
      <c r="B6">
        <v>13</v>
      </c>
      <c r="C6" s="18">
        <v>16738238</v>
      </c>
      <c r="E6" t="s">
        <v>358</v>
      </c>
      <c r="F6" t="s">
        <v>359</v>
      </c>
      <c r="G6" t="s">
        <v>608</v>
      </c>
      <c r="H6" t="s">
        <v>361</v>
      </c>
      <c r="J6" t="s">
        <v>218</v>
      </c>
      <c r="K6">
        <v>76</v>
      </c>
      <c r="L6" s="25" t="s">
        <v>100</v>
      </c>
      <c r="M6">
        <v>169</v>
      </c>
      <c r="N6">
        <v>32500000</v>
      </c>
    </row>
    <row r="7" spans="1:14" x14ac:dyDescent="0.25">
      <c r="A7">
        <v>2201</v>
      </c>
      <c r="B7">
        <v>13</v>
      </c>
      <c r="C7" s="18">
        <v>27088464</v>
      </c>
      <c r="E7" t="s">
        <v>394</v>
      </c>
      <c r="F7" t="s">
        <v>395</v>
      </c>
      <c r="G7" t="s">
        <v>631</v>
      </c>
      <c r="H7" t="s">
        <v>612</v>
      </c>
      <c r="J7" t="s">
        <v>726</v>
      </c>
      <c r="K7">
        <v>52</v>
      </c>
      <c r="L7" s="5" t="s">
        <v>100</v>
      </c>
      <c r="M7">
        <v>169</v>
      </c>
      <c r="N7">
        <v>37171200</v>
      </c>
    </row>
    <row r="8" spans="1:14" x14ac:dyDescent="0.25">
      <c r="A8">
        <v>2201</v>
      </c>
      <c r="B8">
        <v>13</v>
      </c>
      <c r="C8" s="18">
        <v>27088940</v>
      </c>
      <c r="E8" t="s">
        <v>396</v>
      </c>
      <c r="F8" t="s">
        <v>397</v>
      </c>
      <c r="G8" t="s">
        <v>379</v>
      </c>
      <c r="H8" t="s">
        <v>613</v>
      </c>
      <c r="J8" t="s">
        <v>535</v>
      </c>
      <c r="K8">
        <v>52</v>
      </c>
      <c r="L8" s="5" t="s">
        <v>100</v>
      </c>
      <c r="M8">
        <v>169</v>
      </c>
      <c r="N8">
        <v>72170350</v>
      </c>
    </row>
    <row r="9" spans="1:14" x14ac:dyDescent="0.25">
      <c r="A9">
        <v>2201</v>
      </c>
      <c r="B9">
        <v>13</v>
      </c>
      <c r="C9" s="18">
        <v>38555072</v>
      </c>
      <c r="E9" t="s">
        <v>398</v>
      </c>
      <c r="F9" t="s">
        <v>399</v>
      </c>
      <c r="G9" t="s">
        <v>614</v>
      </c>
      <c r="H9" t="s">
        <v>615</v>
      </c>
      <c r="J9" t="s">
        <v>721</v>
      </c>
      <c r="K9">
        <v>76</v>
      </c>
      <c r="L9" s="25" t="s">
        <v>100</v>
      </c>
      <c r="M9">
        <v>169</v>
      </c>
      <c r="N9">
        <v>19074126</v>
      </c>
    </row>
    <row r="10" spans="1:14" x14ac:dyDescent="0.25">
      <c r="A10">
        <v>2201</v>
      </c>
      <c r="B10">
        <v>13</v>
      </c>
      <c r="C10" s="18">
        <v>59822183</v>
      </c>
      <c r="E10" t="s">
        <v>400</v>
      </c>
      <c r="F10" t="s">
        <v>401</v>
      </c>
      <c r="G10" t="s">
        <v>616</v>
      </c>
      <c r="H10" t="s">
        <v>617</v>
      </c>
      <c r="J10" t="s">
        <v>704</v>
      </c>
      <c r="K10">
        <v>52</v>
      </c>
      <c r="L10" s="5" t="s">
        <v>100</v>
      </c>
      <c r="M10">
        <v>169</v>
      </c>
      <c r="N10">
        <v>8026995</v>
      </c>
    </row>
    <row r="11" spans="1:14" x14ac:dyDescent="0.25">
      <c r="A11">
        <v>2201</v>
      </c>
      <c r="B11">
        <v>13</v>
      </c>
      <c r="C11" s="18">
        <v>98325779</v>
      </c>
      <c r="E11" t="s">
        <v>402</v>
      </c>
      <c r="F11" t="s">
        <v>403</v>
      </c>
      <c r="G11" t="s">
        <v>618</v>
      </c>
      <c r="H11" t="s">
        <v>619</v>
      </c>
      <c r="J11" t="s">
        <v>536</v>
      </c>
      <c r="K11">
        <v>52</v>
      </c>
      <c r="L11" s="5" t="s">
        <v>100</v>
      </c>
      <c r="M11">
        <v>169</v>
      </c>
      <c r="N11">
        <v>117173909</v>
      </c>
    </row>
    <row r="12" spans="1:14" x14ac:dyDescent="0.25">
      <c r="A12">
        <v>2201</v>
      </c>
      <c r="B12">
        <v>13</v>
      </c>
      <c r="C12" s="18">
        <v>98386114</v>
      </c>
      <c r="E12" t="s">
        <v>404</v>
      </c>
      <c r="F12" t="s">
        <v>405</v>
      </c>
      <c r="G12" t="s">
        <v>620</v>
      </c>
      <c r="H12" t="s">
        <v>621</v>
      </c>
      <c r="J12" t="s">
        <v>537</v>
      </c>
      <c r="K12">
        <v>52</v>
      </c>
      <c r="L12" s="5" t="s">
        <v>100</v>
      </c>
      <c r="M12">
        <v>169</v>
      </c>
      <c r="N12">
        <v>94028894</v>
      </c>
    </row>
    <row r="13" spans="1:14" x14ac:dyDescent="0.25">
      <c r="A13">
        <v>2201</v>
      </c>
      <c r="B13">
        <v>13</v>
      </c>
      <c r="C13" s="18">
        <v>1085254097</v>
      </c>
      <c r="E13" t="s">
        <v>406</v>
      </c>
      <c r="F13" t="s">
        <v>407</v>
      </c>
      <c r="G13" t="s">
        <v>622</v>
      </c>
      <c r="H13" t="s">
        <v>353</v>
      </c>
      <c r="J13" t="s">
        <v>538</v>
      </c>
      <c r="K13">
        <v>52</v>
      </c>
      <c r="L13" s="5" t="s">
        <v>100</v>
      </c>
      <c r="M13">
        <v>169</v>
      </c>
      <c r="N13">
        <v>20000</v>
      </c>
    </row>
    <row r="14" spans="1:14" x14ac:dyDescent="0.25">
      <c r="A14">
        <v>2201</v>
      </c>
      <c r="B14">
        <v>13</v>
      </c>
      <c r="C14" s="18">
        <v>1085326989</v>
      </c>
      <c r="E14" t="s">
        <v>408</v>
      </c>
      <c r="F14" t="s">
        <v>401</v>
      </c>
      <c r="G14" t="s">
        <v>623</v>
      </c>
      <c r="H14" t="s">
        <v>624</v>
      </c>
      <c r="J14" t="s">
        <v>539</v>
      </c>
      <c r="K14">
        <v>52</v>
      </c>
      <c r="L14" s="5" t="s">
        <v>100</v>
      </c>
      <c r="M14">
        <v>169</v>
      </c>
      <c r="N14">
        <v>67208</v>
      </c>
    </row>
    <row r="15" spans="1:14" x14ac:dyDescent="0.25">
      <c r="A15">
        <v>2201</v>
      </c>
      <c r="B15">
        <v>13</v>
      </c>
      <c r="C15" s="18">
        <v>1088732815</v>
      </c>
      <c r="E15" t="s">
        <v>409</v>
      </c>
      <c r="F15" t="s">
        <v>410</v>
      </c>
      <c r="G15" t="s">
        <v>625</v>
      </c>
      <c r="H15" t="s">
        <v>142</v>
      </c>
      <c r="J15" t="s">
        <v>609</v>
      </c>
      <c r="K15">
        <v>52</v>
      </c>
      <c r="L15" s="5" t="s">
        <v>100</v>
      </c>
      <c r="M15">
        <v>169</v>
      </c>
      <c r="N15">
        <v>57056</v>
      </c>
    </row>
    <row r="16" spans="1:14" x14ac:dyDescent="0.25">
      <c r="A16">
        <v>2201</v>
      </c>
      <c r="B16">
        <v>13</v>
      </c>
      <c r="C16" s="18">
        <v>1107089247</v>
      </c>
      <c r="E16" t="s">
        <v>411</v>
      </c>
      <c r="F16" t="s">
        <v>412</v>
      </c>
      <c r="G16" t="s">
        <v>626</v>
      </c>
      <c r="H16" t="s">
        <v>142</v>
      </c>
      <c r="J16" t="s">
        <v>610</v>
      </c>
      <c r="K16">
        <v>76</v>
      </c>
      <c r="L16" s="25" t="s">
        <v>100</v>
      </c>
      <c r="M16">
        <v>169</v>
      </c>
      <c r="N16">
        <v>4901433</v>
      </c>
    </row>
    <row r="17" spans="1:14" x14ac:dyDescent="0.25">
      <c r="A17">
        <v>2201</v>
      </c>
      <c r="B17">
        <v>13</v>
      </c>
      <c r="C17" s="18">
        <v>87068555</v>
      </c>
      <c r="E17" t="s">
        <v>343</v>
      </c>
      <c r="F17" t="s">
        <v>413</v>
      </c>
      <c r="G17" t="s">
        <v>627</v>
      </c>
      <c r="H17" t="s">
        <v>628</v>
      </c>
      <c r="K17">
        <v>52</v>
      </c>
      <c r="L17" s="5" t="s">
        <v>100</v>
      </c>
      <c r="M17">
        <v>169</v>
      </c>
      <c r="N17">
        <v>181376</v>
      </c>
    </row>
    <row r="18" spans="1:14" x14ac:dyDescent="0.25">
      <c r="A18">
        <v>2201</v>
      </c>
      <c r="B18">
        <v>13</v>
      </c>
      <c r="C18" s="18">
        <v>98382344</v>
      </c>
      <c r="E18" t="s">
        <v>414</v>
      </c>
      <c r="F18" t="s">
        <v>414</v>
      </c>
      <c r="G18" t="s">
        <v>629</v>
      </c>
      <c r="H18" t="s">
        <v>630</v>
      </c>
      <c r="J18" t="s">
        <v>540</v>
      </c>
      <c r="K18">
        <v>52</v>
      </c>
      <c r="L18" s="5" t="s">
        <v>100</v>
      </c>
      <c r="M18">
        <v>169</v>
      </c>
      <c r="N18">
        <v>3406918</v>
      </c>
    </row>
    <row r="19" spans="1:14" x14ac:dyDescent="0.25">
      <c r="A19">
        <v>2201</v>
      </c>
      <c r="B19">
        <v>31</v>
      </c>
      <c r="C19" s="18">
        <v>800088702</v>
      </c>
      <c r="D19">
        <v>2</v>
      </c>
      <c r="I19" t="s">
        <v>500</v>
      </c>
      <c r="J19" t="s">
        <v>541</v>
      </c>
      <c r="K19">
        <v>5</v>
      </c>
      <c r="L19" s="5" t="s">
        <v>100</v>
      </c>
      <c r="M19">
        <v>169</v>
      </c>
      <c r="N19">
        <v>1013152</v>
      </c>
    </row>
    <row r="20" spans="1:14" x14ac:dyDescent="0.25">
      <c r="A20">
        <v>2201</v>
      </c>
      <c r="B20">
        <v>31</v>
      </c>
      <c r="C20" s="18">
        <v>900350386</v>
      </c>
      <c r="D20">
        <v>3</v>
      </c>
      <c r="I20" t="s">
        <v>501</v>
      </c>
      <c r="J20" t="s">
        <v>542</v>
      </c>
      <c r="K20">
        <v>52</v>
      </c>
      <c r="L20" s="18">
        <v>356</v>
      </c>
      <c r="M20">
        <v>169</v>
      </c>
      <c r="N20">
        <v>12478</v>
      </c>
    </row>
    <row r="21" spans="1:14" x14ac:dyDescent="0.25">
      <c r="A21">
        <v>2201</v>
      </c>
      <c r="B21">
        <v>31</v>
      </c>
      <c r="C21" s="18">
        <v>814006325</v>
      </c>
      <c r="D21">
        <v>9</v>
      </c>
      <c r="I21" t="s">
        <v>116</v>
      </c>
      <c r="J21" t="s">
        <v>543</v>
      </c>
      <c r="K21">
        <v>52</v>
      </c>
      <c r="L21" s="5" t="s">
        <v>100</v>
      </c>
      <c r="M21">
        <v>169</v>
      </c>
      <c r="N21">
        <v>6429098</v>
      </c>
    </row>
    <row r="22" spans="1:14" x14ac:dyDescent="0.25">
      <c r="A22">
        <v>2201</v>
      </c>
      <c r="B22">
        <v>31</v>
      </c>
      <c r="C22" s="18">
        <v>800153993</v>
      </c>
      <c r="D22">
        <v>7</v>
      </c>
      <c r="I22" t="s">
        <v>502</v>
      </c>
      <c r="J22" t="s">
        <v>711</v>
      </c>
      <c r="K22">
        <v>11</v>
      </c>
      <c r="L22" s="5" t="s">
        <v>100</v>
      </c>
      <c r="M22">
        <v>169</v>
      </c>
      <c r="N22">
        <v>7885214</v>
      </c>
    </row>
    <row r="23" spans="1:14" x14ac:dyDescent="0.25">
      <c r="A23">
        <v>2201</v>
      </c>
      <c r="B23">
        <v>31</v>
      </c>
      <c r="C23" s="18">
        <v>900053251</v>
      </c>
      <c r="D23">
        <v>4</v>
      </c>
      <c r="I23" t="s">
        <v>503</v>
      </c>
      <c r="J23" t="s">
        <v>544</v>
      </c>
      <c r="K23">
        <v>76</v>
      </c>
      <c r="L23" s="25" t="s">
        <v>100</v>
      </c>
      <c r="M23">
        <v>169</v>
      </c>
      <c r="N23">
        <v>1104000</v>
      </c>
    </row>
    <row r="24" spans="1:14" x14ac:dyDescent="0.25">
      <c r="A24">
        <v>2201</v>
      </c>
      <c r="B24">
        <v>31</v>
      </c>
      <c r="C24" s="18">
        <v>901021565</v>
      </c>
      <c r="D24">
        <v>8</v>
      </c>
      <c r="I24" t="s">
        <v>504</v>
      </c>
      <c r="J24" t="s">
        <v>28</v>
      </c>
      <c r="K24">
        <v>52</v>
      </c>
      <c r="L24" s="5" t="s">
        <v>100</v>
      </c>
      <c r="M24">
        <v>169</v>
      </c>
      <c r="N24">
        <v>224944904</v>
      </c>
    </row>
    <row r="25" spans="1:14" x14ac:dyDescent="0.25">
      <c r="A25">
        <v>2201</v>
      </c>
      <c r="B25">
        <v>13</v>
      </c>
      <c r="C25" s="18">
        <v>5212562</v>
      </c>
      <c r="E25" t="s">
        <v>415</v>
      </c>
      <c r="F25" t="s">
        <v>416</v>
      </c>
      <c r="G25" t="s">
        <v>632</v>
      </c>
      <c r="H25" t="s">
        <v>633</v>
      </c>
      <c r="J25" t="s">
        <v>545</v>
      </c>
      <c r="K25">
        <v>52</v>
      </c>
      <c r="L25" s="5" t="s">
        <v>738</v>
      </c>
      <c r="M25">
        <v>169</v>
      </c>
      <c r="N25">
        <v>2240008</v>
      </c>
    </row>
    <row r="26" spans="1:14" x14ac:dyDescent="0.25">
      <c r="A26">
        <v>2201</v>
      </c>
      <c r="B26">
        <v>13</v>
      </c>
      <c r="C26" s="18">
        <v>27204666</v>
      </c>
      <c r="E26" t="s">
        <v>417</v>
      </c>
      <c r="F26" t="s">
        <v>418</v>
      </c>
      <c r="G26" t="s">
        <v>634</v>
      </c>
      <c r="H26" t="s">
        <v>153</v>
      </c>
      <c r="J26" t="s">
        <v>546</v>
      </c>
      <c r="K26">
        <v>52</v>
      </c>
      <c r="L26" s="5" t="s">
        <v>100</v>
      </c>
      <c r="M26">
        <v>169</v>
      </c>
      <c r="N26">
        <v>17632178</v>
      </c>
    </row>
    <row r="27" spans="1:14" x14ac:dyDescent="0.25">
      <c r="A27">
        <v>2201</v>
      </c>
      <c r="B27">
        <v>13</v>
      </c>
      <c r="C27" s="18">
        <v>29122718</v>
      </c>
      <c r="E27" t="s">
        <v>419</v>
      </c>
      <c r="F27" t="s">
        <v>420</v>
      </c>
      <c r="G27" t="s">
        <v>635</v>
      </c>
      <c r="J27" t="s">
        <v>547</v>
      </c>
      <c r="K27">
        <v>76</v>
      </c>
      <c r="L27" s="25" t="s">
        <v>100</v>
      </c>
      <c r="M27">
        <v>169</v>
      </c>
      <c r="N27">
        <v>3959800</v>
      </c>
    </row>
    <row r="28" spans="1:14" x14ac:dyDescent="0.25">
      <c r="A28">
        <v>2201</v>
      </c>
      <c r="B28">
        <v>13</v>
      </c>
      <c r="C28" s="18">
        <v>59310491</v>
      </c>
      <c r="E28" t="s">
        <v>421</v>
      </c>
      <c r="F28" t="s">
        <v>422</v>
      </c>
      <c r="G28" t="s">
        <v>636</v>
      </c>
      <c r="H28" t="s">
        <v>637</v>
      </c>
      <c r="J28" t="s">
        <v>727</v>
      </c>
      <c r="K28">
        <v>52</v>
      </c>
      <c r="L28" s="5" t="s">
        <v>100</v>
      </c>
      <c r="M28">
        <v>169</v>
      </c>
      <c r="N28">
        <v>4880803</v>
      </c>
    </row>
    <row r="29" spans="1:14" x14ac:dyDescent="0.25">
      <c r="A29">
        <v>2201</v>
      </c>
      <c r="B29">
        <v>31</v>
      </c>
      <c r="C29" s="18">
        <v>890303208</v>
      </c>
      <c r="D29">
        <v>5</v>
      </c>
      <c r="I29" t="s">
        <v>505</v>
      </c>
      <c r="J29" t="s">
        <v>548</v>
      </c>
      <c r="K29">
        <v>76</v>
      </c>
      <c r="L29" s="25" t="s">
        <v>100</v>
      </c>
      <c r="M29">
        <v>169</v>
      </c>
      <c r="N29">
        <v>59900</v>
      </c>
    </row>
    <row r="30" spans="1:14" x14ac:dyDescent="0.25">
      <c r="A30">
        <v>2201</v>
      </c>
      <c r="B30">
        <v>13</v>
      </c>
      <c r="C30" s="18">
        <v>13068504</v>
      </c>
      <c r="E30" t="s">
        <v>410</v>
      </c>
      <c r="F30" t="s">
        <v>423</v>
      </c>
      <c r="G30" t="s">
        <v>638</v>
      </c>
      <c r="H30" t="s">
        <v>639</v>
      </c>
      <c r="J30" t="s">
        <v>549</v>
      </c>
      <c r="K30">
        <v>52</v>
      </c>
      <c r="L30" s="5" t="s">
        <v>100</v>
      </c>
      <c r="M30">
        <v>169</v>
      </c>
      <c r="N30">
        <v>209560</v>
      </c>
    </row>
    <row r="31" spans="1:14" x14ac:dyDescent="0.25">
      <c r="A31">
        <v>2201</v>
      </c>
      <c r="B31">
        <v>13</v>
      </c>
      <c r="C31" s="18">
        <v>34315819</v>
      </c>
      <c r="E31" t="s">
        <v>424</v>
      </c>
      <c r="F31" t="s">
        <v>393</v>
      </c>
      <c r="G31" t="s">
        <v>640</v>
      </c>
      <c r="H31" t="s">
        <v>641</v>
      </c>
      <c r="J31" t="s">
        <v>705</v>
      </c>
      <c r="K31">
        <v>52</v>
      </c>
      <c r="L31" s="5" t="s">
        <v>100</v>
      </c>
      <c r="M31">
        <v>169</v>
      </c>
      <c r="N31">
        <v>82576</v>
      </c>
    </row>
    <row r="32" spans="1:14" x14ac:dyDescent="0.25">
      <c r="A32">
        <v>2201</v>
      </c>
      <c r="B32">
        <v>13</v>
      </c>
      <c r="C32" s="18">
        <v>66981872</v>
      </c>
      <c r="E32" t="s">
        <v>377</v>
      </c>
      <c r="F32" t="s">
        <v>425</v>
      </c>
      <c r="G32" t="s">
        <v>379</v>
      </c>
      <c r="J32" t="s">
        <v>611</v>
      </c>
      <c r="K32">
        <v>76</v>
      </c>
      <c r="L32" s="25" t="s">
        <v>100</v>
      </c>
      <c r="M32">
        <v>169</v>
      </c>
      <c r="N32">
        <v>10207500</v>
      </c>
    </row>
    <row r="33" spans="1:14" x14ac:dyDescent="0.25">
      <c r="A33">
        <v>2201</v>
      </c>
      <c r="B33">
        <v>13</v>
      </c>
      <c r="C33" s="18">
        <v>1085288640</v>
      </c>
      <c r="E33" t="s">
        <v>426</v>
      </c>
      <c r="F33" t="s">
        <v>404</v>
      </c>
      <c r="G33" t="s">
        <v>375</v>
      </c>
      <c r="H33" t="s">
        <v>642</v>
      </c>
      <c r="J33" t="s">
        <v>232</v>
      </c>
      <c r="K33">
        <v>52</v>
      </c>
      <c r="L33" s="5" t="s">
        <v>100</v>
      </c>
      <c r="M33">
        <v>169</v>
      </c>
      <c r="N33">
        <v>3500080</v>
      </c>
    </row>
    <row r="34" spans="1:14" x14ac:dyDescent="0.25">
      <c r="A34">
        <v>2201</v>
      </c>
      <c r="B34">
        <v>31</v>
      </c>
      <c r="C34" s="18">
        <v>800251440</v>
      </c>
      <c r="D34">
        <v>6</v>
      </c>
      <c r="I34" t="s">
        <v>172</v>
      </c>
      <c r="J34" t="s">
        <v>709</v>
      </c>
      <c r="K34">
        <v>11</v>
      </c>
      <c r="L34" s="5" t="s">
        <v>100</v>
      </c>
      <c r="M34">
        <v>169</v>
      </c>
      <c r="N34">
        <v>1167983</v>
      </c>
    </row>
    <row r="35" spans="1:14" x14ac:dyDescent="0.25">
      <c r="A35">
        <v>2201</v>
      </c>
      <c r="B35">
        <v>31</v>
      </c>
      <c r="C35" s="18">
        <v>901805593</v>
      </c>
      <c r="D35">
        <v>1</v>
      </c>
      <c r="I35" t="s">
        <v>506</v>
      </c>
      <c r="J35" t="s">
        <v>550</v>
      </c>
      <c r="K35">
        <v>52</v>
      </c>
      <c r="L35" s="5" t="s">
        <v>100</v>
      </c>
      <c r="M35">
        <v>169</v>
      </c>
      <c r="N35">
        <v>323200</v>
      </c>
    </row>
    <row r="36" spans="1:14" x14ac:dyDescent="0.25">
      <c r="A36">
        <v>2201</v>
      </c>
      <c r="B36">
        <v>31</v>
      </c>
      <c r="C36" s="18">
        <v>890399003</v>
      </c>
      <c r="D36">
        <v>4</v>
      </c>
      <c r="I36" t="s">
        <v>507</v>
      </c>
      <c r="J36" t="s">
        <v>551</v>
      </c>
      <c r="K36">
        <v>76</v>
      </c>
      <c r="L36" s="25" t="s">
        <v>100</v>
      </c>
      <c r="M36">
        <v>169</v>
      </c>
      <c r="N36">
        <v>590727</v>
      </c>
    </row>
    <row r="37" spans="1:14" x14ac:dyDescent="0.25">
      <c r="A37">
        <v>2201</v>
      </c>
      <c r="B37">
        <v>31</v>
      </c>
      <c r="C37" s="18">
        <v>800169376</v>
      </c>
      <c r="D37">
        <v>2</v>
      </c>
      <c r="I37" t="s">
        <v>113</v>
      </c>
      <c r="J37" t="s">
        <v>552</v>
      </c>
      <c r="K37">
        <v>19</v>
      </c>
      <c r="L37" s="5" t="s">
        <v>100</v>
      </c>
      <c r="M37">
        <v>169</v>
      </c>
      <c r="N37">
        <v>3689292.23</v>
      </c>
    </row>
    <row r="38" spans="1:14" x14ac:dyDescent="0.25">
      <c r="A38">
        <v>2201</v>
      </c>
      <c r="B38">
        <v>31</v>
      </c>
      <c r="C38" s="18">
        <v>837000380</v>
      </c>
      <c r="D38">
        <v>0</v>
      </c>
      <c r="I38" t="s">
        <v>508</v>
      </c>
      <c r="J38" t="s">
        <v>553</v>
      </c>
      <c r="K38">
        <v>52</v>
      </c>
      <c r="L38" s="5" t="s">
        <v>100</v>
      </c>
      <c r="M38">
        <v>169</v>
      </c>
      <c r="N38">
        <v>4632136</v>
      </c>
    </row>
    <row r="39" spans="1:14" x14ac:dyDescent="0.25">
      <c r="A39">
        <v>2201</v>
      </c>
      <c r="B39">
        <v>31</v>
      </c>
      <c r="C39" s="18">
        <v>900163149</v>
      </c>
      <c r="D39">
        <v>2</v>
      </c>
      <c r="I39" t="s">
        <v>126</v>
      </c>
      <c r="J39" t="s">
        <v>223</v>
      </c>
      <c r="K39">
        <v>52</v>
      </c>
      <c r="L39" s="5" t="s">
        <v>100</v>
      </c>
      <c r="M39">
        <v>169</v>
      </c>
      <c r="N39">
        <v>2484000</v>
      </c>
    </row>
    <row r="40" spans="1:14" x14ac:dyDescent="0.25">
      <c r="A40">
        <v>2201</v>
      </c>
      <c r="B40">
        <v>13</v>
      </c>
      <c r="C40" s="18">
        <v>1004189310</v>
      </c>
      <c r="E40" t="s">
        <v>427</v>
      </c>
      <c r="F40" t="s">
        <v>428</v>
      </c>
      <c r="G40" t="s">
        <v>643</v>
      </c>
      <c r="H40" t="s">
        <v>644</v>
      </c>
      <c r="J40" t="s">
        <v>554</v>
      </c>
      <c r="K40">
        <v>52</v>
      </c>
      <c r="L40" s="5" t="s">
        <v>100</v>
      </c>
      <c r="M40">
        <v>169</v>
      </c>
      <c r="N40">
        <v>19075388</v>
      </c>
    </row>
    <row r="41" spans="1:14" x14ac:dyDescent="0.25">
      <c r="A41">
        <v>2201</v>
      </c>
      <c r="B41">
        <v>13</v>
      </c>
      <c r="C41" s="18">
        <v>27276468</v>
      </c>
      <c r="E41" t="s">
        <v>393</v>
      </c>
      <c r="F41" t="s">
        <v>429</v>
      </c>
      <c r="G41" t="s">
        <v>645</v>
      </c>
      <c r="J41" t="s">
        <v>555</v>
      </c>
      <c r="K41">
        <v>52</v>
      </c>
      <c r="L41" s="5" t="s">
        <v>100</v>
      </c>
      <c r="M41">
        <v>169</v>
      </c>
      <c r="N41">
        <v>96598667</v>
      </c>
    </row>
    <row r="42" spans="1:14" x14ac:dyDescent="0.25">
      <c r="A42">
        <v>2201</v>
      </c>
      <c r="B42">
        <v>13</v>
      </c>
      <c r="C42" s="18">
        <v>59312041</v>
      </c>
      <c r="E42" t="s">
        <v>430</v>
      </c>
      <c r="F42" t="s">
        <v>431</v>
      </c>
      <c r="G42" t="s">
        <v>645</v>
      </c>
      <c r="H42" t="s">
        <v>646</v>
      </c>
      <c r="J42" t="s">
        <v>556</v>
      </c>
      <c r="K42">
        <v>52</v>
      </c>
      <c r="L42" s="5" t="s">
        <v>100</v>
      </c>
      <c r="M42">
        <v>169</v>
      </c>
      <c r="N42">
        <v>9006789</v>
      </c>
    </row>
    <row r="43" spans="1:14" x14ac:dyDescent="0.25">
      <c r="A43">
        <v>2201</v>
      </c>
      <c r="B43">
        <v>13</v>
      </c>
      <c r="C43" s="18">
        <v>98379497</v>
      </c>
      <c r="E43" t="s">
        <v>432</v>
      </c>
      <c r="F43" t="s">
        <v>357</v>
      </c>
      <c r="G43" t="s">
        <v>149</v>
      </c>
      <c r="H43" t="s">
        <v>353</v>
      </c>
      <c r="J43" t="s">
        <v>557</v>
      </c>
      <c r="K43">
        <v>52</v>
      </c>
      <c r="L43" s="5" t="s">
        <v>100</v>
      </c>
      <c r="M43">
        <v>169</v>
      </c>
      <c r="N43">
        <v>112592122</v>
      </c>
    </row>
    <row r="44" spans="1:14" x14ac:dyDescent="0.25">
      <c r="A44">
        <v>2201</v>
      </c>
      <c r="B44">
        <v>31</v>
      </c>
      <c r="C44" s="18">
        <v>800197268</v>
      </c>
      <c r="D44">
        <v>4</v>
      </c>
      <c r="I44" t="s">
        <v>509</v>
      </c>
      <c r="J44" t="s">
        <v>710</v>
      </c>
      <c r="K44">
        <v>52</v>
      </c>
      <c r="L44" s="5" t="s">
        <v>100</v>
      </c>
      <c r="M44">
        <v>169</v>
      </c>
      <c r="N44">
        <v>603146000</v>
      </c>
    </row>
    <row r="45" spans="1:14" x14ac:dyDescent="0.25">
      <c r="A45">
        <v>2201</v>
      </c>
      <c r="B45">
        <v>31</v>
      </c>
      <c r="C45" s="18">
        <v>900336004</v>
      </c>
      <c r="D45">
        <v>7</v>
      </c>
      <c r="I45" t="s">
        <v>510</v>
      </c>
      <c r="J45" t="s">
        <v>730</v>
      </c>
      <c r="K45">
        <v>11</v>
      </c>
      <c r="L45" s="5" t="s">
        <v>100</v>
      </c>
      <c r="M45">
        <v>169</v>
      </c>
      <c r="N45">
        <v>3744500</v>
      </c>
    </row>
    <row r="46" spans="1:14" x14ac:dyDescent="0.25">
      <c r="A46">
        <v>2201</v>
      </c>
      <c r="B46">
        <v>31</v>
      </c>
      <c r="C46" s="18">
        <v>890303093</v>
      </c>
      <c r="D46">
        <v>5</v>
      </c>
      <c r="I46" t="s">
        <v>511</v>
      </c>
      <c r="J46" t="s">
        <v>558</v>
      </c>
      <c r="K46">
        <v>76</v>
      </c>
      <c r="L46" s="25" t="s">
        <v>100</v>
      </c>
      <c r="M46">
        <v>169</v>
      </c>
      <c r="N46">
        <v>274100</v>
      </c>
    </row>
    <row r="47" spans="1:14" x14ac:dyDescent="0.25">
      <c r="A47">
        <v>2201</v>
      </c>
      <c r="B47">
        <v>13</v>
      </c>
      <c r="C47" s="18">
        <v>12752336</v>
      </c>
      <c r="E47" t="s">
        <v>433</v>
      </c>
      <c r="F47" t="s">
        <v>434</v>
      </c>
      <c r="G47" t="s">
        <v>608</v>
      </c>
      <c r="H47" t="s">
        <v>372</v>
      </c>
      <c r="J47" t="s">
        <v>719</v>
      </c>
      <c r="K47">
        <v>52</v>
      </c>
      <c r="L47" s="5" t="s">
        <v>100</v>
      </c>
      <c r="M47">
        <v>169</v>
      </c>
      <c r="N47">
        <v>10000</v>
      </c>
    </row>
    <row r="48" spans="1:14" x14ac:dyDescent="0.25">
      <c r="A48">
        <v>2201</v>
      </c>
      <c r="B48">
        <v>13</v>
      </c>
      <c r="C48" s="18">
        <v>12996518</v>
      </c>
      <c r="E48" t="s">
        <v>435</v>
      </c>
      <c r="F48" t="s">
        <v>392</v>
      </c>
      <c r="G48" t="s">
        <v>647</v>
      </c>
      <c r="H48" t="s">
        <v>648</v>
      </c>
      <c r="J48" t="s">
        <v>712</v>
      </c>
      <c r="K48">
        <v>52</v>
      </c>
      <c r="L48" s="5" t="s">
        <v>100</v>
      </c>
      <c r="M48">
        <v>169</v>
      </c>
      <c r="N48">
        <v>62854</v>
      </c>
    </row>
    <row r="49" spans="1:14" x14ac:dyDescent="0.25">
      <c r="A49">
        <v>2201</v>
      </c>
      <c r="B49">
        <v>13</v>
      </c>
      <c r="C49" s="18">
        <v>13068110</v>
      </c>
      <c r="E49" t="s">
        <v>436</v>
      </c>
      <c r="F49" t="s">
        <v>437</v>
      </c>
      <c r="G49" t="s">
        <v>619</v>
      </c>
      <c r="H49" t="s">
        <v>649</v>
      </c>
      <c r="J49" t="s">
        <v>722</v>
      </c>
      <c r="K49">
        <v>52</v>
      </c>
      <c r="L49" s="5" t="s">
        <v>100</v>
      </c>
      <c r="M49">
        <v>169</v>
      </c>
      <c r="N49">
        <v>20000</v>
      </c>
    </row>
    <row r="50" spans="1:14" x14ac:dyDescent="0.25">
      <c r="A50">
        <v>2201</v>
      </c>
      <c r="B50">
        <v>31</v>
      </c>
      <c r="C50" s="18">
        <v>814000337</v>
      </c>
      <c r="D50">
        <v>1</v>
      </c>
      <c r="I50" t="s">
        <v>512</v>
      </c>
      <c r="J50" t="s">
        <v>559</v>
      </c>
      <c r="K50">
        <v>52</v>
      </c>
      <c r="L50" s="5" t="s">
        <v>100</v>
      </c>
      <c r="M50">
        <v>169</v>
      </c>
      <c r="N50">
        <v>955221930</v>
      </c>
    </row>
    <row r="51" spans="1:14" x14ac:dyDescent="0.25">
      <c r="A51">
        <v>2201</v>
      </c>
      <c r="B51">
        <v>13</v>
      </c>
      <c r="C51" s="18">
        <v>1085331757</v>
      </c>
      <c r="E51" t="s">
        <v>435</v>
      </c>
      <c r="F51" t="s">
        <v>438</v>
      </c>
      <c r="G51" t="s">
        <v>650</v>
      </c>
      <c r="H51" t="s">
        <v>651</v>
      </c>
      <c r="J51" t="s">
        <v>560</v>
      </c>
      <c r="K51">
        <v>76</v>
      </c>
      <c r="L51" s="25" t="s">
        <v>100</v>
      </c>
      <c r="M51">
        <v>169</v>
      </c>
      <c r="N51">
        <v>51400</v>
      </c>
    </row>
    <row r="52" spans="1:14" x14ac:dyDescent="0.25">
      <c r="A52">
        <v>2201</v>
      </c>
      <c r="B52">
        <v>13</v>
      </c>
      <c r="C52" s="18">
        <v>31959945</v>
      </c>
      <c r="E52" t="s">
        <v>439</v>
      </c>
      <c r="F52" t="s">
        <v>440</v>
      </c>
      <c r="G52" t="s">
        <v>652</v>
      </c>
      <c r="J52" t="s">
        <v>708</v>
      </c>
      <c r="K52">
        <v>52</v>
      </c>
      <c r="L52" s="5" t="s">
        <v>100</v>
      </c>
      <c r="M52">
        <v>169</v>
      </c>
      <c r="N52">
        <v>60524949</v>
      </c>
    </row>
    <row r="53" spans="1:14" x14ac:dyDescent="0.25">
      <c r="A53">
        <v>2201</v>
      </c>
      <c r="B53">
        <v>31</v>
      </c>
      <c r="C53" s="18">
        <v>830122566</v>
      </c>
      <c r="D53">
        <v>1</v>
      </c>
      <c r="I53" t="s">
        <v>513</v>
      </c>
      <c r="J53" t="s">
        <v>561</v>
      </c>
      <c r="K53">
        <v>76</v>
      </c>
      <c r="L53" s="25" t="s">
        <v>100</v>
      </c>
      <c r="M53">
        <v>169</v>
      </c>
      <c r="N53">
        <v>6986383</v>
      </c>
    </row>
    <row r="54" spans="1:14" x14ac:dyDescent="0.25">
      <c r="A54">
        <v>2201</v>
      </c>
      <c r="B54">
        <v>13</v>
      </c>
      <c r="C54" s="18">
        <v>1080690236</v>
      </c>
      <c r="E54" t="s">
        <v>343</v>
      </c>
      <c r="F54" t="s">
        <v>622</v>
      </c>
      <c r="G54" t="s">
        <v>654</v>
      </c>
      <c r="J54" t="s">
        <v>209</v>
      </c>
      <c r="K54">
        <v>52</v>
      </c>
      <c r="L54" s="5" t="s">
        <v>100</v>
      </c>
      <c r="M54">
        <v>169</v>
      </c>
      <c r="N54">
        <v>600000</v>
      </c>
    </row>
    <row r="55" spans="1:14" x14ac:dyDescent="0.25">
      <c r="A55">
        <v>2201</v>
      </c>
      <c r="B55">
        <v>13</v>
      </c>
      <c r="C55" s="18">
        <v>5236713</v>
      </c>
      <c r="E55" t="s">
        <v>441</v>
      </c>
      <c r="F55" t="s">
        <v>620</v>
      </c>
      <c r="G55" t="s">
        <v>653</v>
      </c>
      <c r="J55" t="s">
        <v>713</v>
      </c>
      <c r="K55">
        <v>52</v>
      </c>
      <c r="L55" s="18">
        <v>215</v>
      </c>
      <c r="M55">
        <v>169</v>
      </c>
      <c r="N55">
        <v>714088</v>
      </c>
    </row>
    <row r="56" spans="1:14" x14ac:dyDescent="0.25">
      <c r="A56">
        <v>2201</v>
      </c>
      <c r="B56">
        <v>31</v>
      </c>
      <c r="C56" s="18">
        <v>900057647</v>
      </c>
      <c r="D56">
        <v>5</v>
      </c>
      <c r="I56" t="s">
        <v>196</v>
      </c>
      <c r="J56" t="s">
        <v>198</v>
      </c>
      <c r="K56">
        <v>76</v>
      </c>
      <c r="L56" s="25" t="s">
        <v>100</v>
      </c>
      <c r="M56">
        <v>169</v>
      </c>
      <c r="N56">
        <v>11613255</v>
      </c>
    </row>
    <row r="57" spans="1:14" x14ac:dyDescent="0.25">
      <c r="A57">
        <v>2201</v>
      </c>
      <c r="B57">
        <v>31</v>
      </c>
      <c r="C57" s="18">
        <v>900971955</v>
      </c>
      <c r="D57">
        <v>9</v>
      </c>
      <c r="I57" t="s">
        <v>514</v>
      </c>
      <c r="J57" t="s">
        <v>562</v>
      </c>
      <c r="K57">
        <v>76</v>
      </c>
      <c r="L57" s="25" t="s">
        <v>100</v>
      </c>
      <c r="M57">
        <v>169</v>
      </c>
      <c r="N57">
        <v>12389760</v>
      </c>
    </row>
    <row r="58" spans="1:14" x14ac:dyDescent="0.25">
      <c r="A58">
        <v>2201</v>
      </c>
      <c r="B58">
        <v>13</v>
      </c>
      <c r="C58" s="18">
        <v>98388241</v>
      </c>
      <c r="E58" t="s">
        <v>442</v>
      </c>
      <c r="F58" t="s">
        <v>443</v>
      </c>
      <c r="G58" t="s">
        <v>655</v>
      </c>
      <c r="H58" t="s">
        <v>353</v>
      </c>
      <c r="J58" t="s">
        <v>563</v>
      </c>
      <c r="K58">
        <v>52</v>
      </c>
      <c r="L58" s="5" t="s">
        <v>100</v>
      </c>
      <c r="M58">
        <v>169</v>
      </c>
      <c r="N58">
        <v>1374584</v>
      </c>
    </row>
    <row r="59" spans="1:14" x14ac:dyDescent="0.25">
      <c r="A59">
        <v>2201</v>
      </c>
      <c r="B59">
        <v>13</v>
      </c>
      <c r="C59" s="18">
        <v>29532811</v>
      </c>
      <c r="E59" t="s">
        <v>410</v>
      </c>
      <c r="F59" t="s">
        <v>444</v>
      </c>
      <c r="G59" t="s">
        <v>433</v>
      </c>
      <c r="H59" t="s">
        <v>656</v>
      </c>
      <c r="K59">
        <v>76</v>
      </c>
      <c r="L59" s="18">
        <v>306</v>
      </c>
      <c r="M59">
        <v>169</v>
      </c>
      <c r="N59">
        <v>1991112</v>
      </c>
    </row>
    <row r="60" spans="1:14" x14ac:dyDescent="0.25">
      <c r="A60">
        <v>2201</v>
      </c>
      <c r="B60">
        <v>13</v>
      </c>
      <c r="C60" s="18">
        <v>38878160</v>
      </c>
      <c r="E60" t="s">
        <v>445</v>
      </c>
      <c r="F60" t="s">
        <v>446</v>
      </c>
      <c r="G60" t="s">
        <v>636</v>
      </c>
      <c r="H60" t="s">
        <v>657</v>
      </c>
      <c r="K60">
        <v>76</v>
      </c>
      <c r="L60" s="18">
        <v>318</v>
      </c>
      <c r="M60">
        <v>169</v>
      </c>
      <c r="N60">
        <v>817784</v>
      </c>
    </row>
    <row r="61" spans="1:14" x14ac:dyDescent="0.25">
      <c r="A61">
        <v>2201</v>
      </c>
      <c r="B61">
        <v>13</v>
      </c>
      <c r="C61" s="18">
        <v>76142268</v>
      </c>
      <c r="E61" t="s">
        <v>447</v>
      </c>
      <c r="F61" t="s">
        <v>441</v>
      </c>
      <c r="G61" t="s">
        <v>622</v>
      </c>
      <c r="H61" t="s">
        <v>353</v>
      </c>
      <c r="J61" t="s">
        <v>564</v>
      </c>
      <c r="K61">
        <v>19</v>
      </c>
      <c r="L61" s="18">
        <v>142</v>
      </c>
      <c r="M61">
        <v>169</v>
      </c>
      <c r="N61">
        <v>2240008</v>
      </c>
    </row>
    <row r="62" spans="1:14" x14ac:dyDescent="0.25">
      <c r="A62">
        <v>2201</v>
      </c>
      <c r="B62">
        <v>13</v>
      </c>
      <c r="C62" s="18">
        <v>1085254570</v>
      </c>
      <c r="E62" t="s">
        <v>448</v>
      </c>
      <c r="F62" t="s">
        <v>449</v>
      </c>
      <c r="G62" t="s">
        <v>658</v>
      </c>
      <c r="H62" t="s">
        <v>350</v>
      </c>
      <c r="J62" t="s">
        <v>736</v>
      </c>
      <c r="K62">
        <v>52</v>
      </c>
      <c r="L62" s="5" t="s">
        <v>100</v>
      </c>
      <c r="M62">
        <v>169</v>
      </c>
      <c r="N62">
        <v>17500000</v>
      </c>
    </row>
    <row r="63" spans="1:14" x14ac:dyDescent="0.25">
      <c r="A63">
        <v>2201</v>
      </c>
      <c r="B63">
        <v>13</v>
      </c>
      <c r="C63" s="18">
        <v>1113634646</v>
      </c>
      <c r="E63" t="s">
        <v>450</v>
      </c>
      <c r="F63" t="s">
        <v>419</v>
      </c>
      <c r="G63" t="s">
        <v>622</v>
      </c>
      <c r="H63" t="s">
        <v>353</v>
      </c>
      <c r="J63" t="s">
        <v>737</v>
      </c>
      <c r="K63">
        <v>76</v>
      </c>
      <c r="L63" s="25" t="s">
        <v>100</v>
      </c>
      <c r="M63">
        <v>169</v>
      </c>
      <c r="N63">
        <v>9000000</v>
      </c>
    </row>
    <row r="64" spans="1:14" x14ac:dyDescent="0.25">
      <c r="A64">
        <v>2201</v>
      </c>
      <c r="B64">
        <v>13</v>
      </c>
      <c r="C64" s="18">
        <v>37082538</v>
      </c>
      <c r="E64" t="s">
        <v>451</v>
      </c>
      <c r="F64" t="s">
        <v>452</v>
      </c>
      <c r="G64" t="s">
        <v>659</v>
      </c>
      <c r="J64" t="s">
        <v>565</v>
      </c>
      <c r="K64">
        <v>52</v>
      </c>
      <c r="L64" s="5" t="s">
        <v>100</v>
      </c>
      <c r="M64">
        <v>169</v>
      </c>
      <c r="N64">
        <v>26893146</v>
      </c>
    </row>
    <row r="65" spans="1:14" x14ac:dyDescent="0.25">
      <c r="A65">
        <v>2201</v>
      </c>
      <c r="B65">
        <v>13</v>
      </c>
      <c r="C65" s="18">
        <v>1085306594</v>
      </c>
      <c r="E65" t="s">
        <v>409</v>
      </c>
      <c r="F65" t="s">
        <v>453</v>
      </c>
      <c r="G65" t="s">
        <v>660</v>
      </c>
      <c r="H65" t="s">
        <v>636</v>
      </c>
      <c r="J65" t="s">
        <v>566</v>
      </c>
      <c r="K65">
        <v>52</v>
      </c>
      <c r="L65" s="5" t="s">
        <v>100</v>
      </c>
      <c r="M65">
        <v>169</v>
      </c>
      <c r="N65">
        <v>28529</v>
      </c>
    </row>
    <row r="66" spans="1:14" x14ac:dyDescent="0.25">
      <c r="A66">
        <v>2201</v>
      </c>
      <c r="B66">
        <v>13</v>
      </c>
      <c r="C66" s="18">
        <v>1094956092</v>
      </c>
      <c r="E66" t="s">
        <v>454</v>
      </c>
      <c r="F66" t="s">
        <v>455</v>
      </c>
      <c r="G66" t="s">
        <v>661</v>
      </c>
      <c r="J66" t="s">
        <v>567</v>
      </c>
      <c r="K66">
        <v>76</v>
      </c>
      <c r="L66" s="25" t="s">
        <v>100</v>
      </c>
      <c r="M66">
        <v>169</v>
      </c>
      <c r="N66">
        <v>117454</v>
      </c>
    </row>
    <row r="67" spans="1:14" x14ac:dyDescent="0.25">
      <c r="A67">
        <v>2201</v>
      </c>
      <c r="B67">
        <v>13</v>
      </c>
      <c r="C67" s="18">
        <v>1085247003</v>
      </c>
      <c r="E67" t="s">
        <v>456</v>
      </c>
      <c r="F67" t="s">
        <v>457</v>
      </c>
      <c r="G67" t="s">
        <v>623</v>
      </c>
      <c r="H67" t="s">
        <v>662</v>
      </c>
      <c r="J67" t="s">
        <v>731</v>
      </c>
      <c r="K67">
        <v>52</v>
      </c>
      <c r="L67" s="5" t="s">
        <v>100</v>
      </c>
      <c r="M67">
        <v>169</v>
      </c>
      <c r="N67">
        <v>13200</v>
      </c>
    </row>
    <row r="68" spans="1:14" x14ac:dyDescent="0.25">
      <c r="A68">
        <v>2201</v>
      </c>
      <c r="B68">
        <v>31</v>
      </c>
      <c r="C68" s="18">
        <v>890903938</v>
      </c>
      <c r="D68">
        <v>8</v>
      </c>
      <c r="I68" t="s">
        <v>122</v>
      </c>
      <c r="J68" t="s">
        <v>568</v>
      </c>
      <c r="K68">
        <v>5</v>
      </c>
      <c r="L68" s="5" t="s">
        <v>100</v>
      </c>
      <c r="M68">
        <v>169</v>
      </c>
      <c r="N68">
        <v>15677427</v>
      </c>
    </row>
    <row r="69" spans="1:14" x14ac:dyDescent="0.25">
      <c r="A69">
        <v>2201</v>
      </c>
      <c r="B69">
        <v>31</v>
      </c>
      <c r="C69" s="18">
        <v>891200200</v>
      </c>
      <c r="D69">
        <v>8</v>
      </c>
      <c r="I69" t="s">
        <v>515</v>
      </c>
      <c r="J69" t="s">
        <v>569</v>
      </c>
      <c r="K69">
        <v>52</v>
      </c>
      <c r="L69" s="5" t="s">
        <v>100</v>
      </c>
      <c r="M69">
        <v>169</v>
      </c>
      <c r="N69">
        <v>289640</v>
      </c>
    </row>
    <row r="70" spans="1:14" x14ac:dyDescent="0.25">
      <c r="A70">
        <v>2201</v>
      </c>
      <c r="B70">
        <v>31</v>
      </c>
      <c r="C70" s="18">
        <v>814003583</v>
      </c>
      <c r="D70">
        <v>9</v>
      </c>
      <c r="I70" t="s">
        <v>516</v>
      </c>
      <c r="J70" t="s">
        <v>570</v>
      </c>
      <c r="K70">
        <v>52</v>
      </c>
      <c r="L70" s="5" t="s">
        <v>100</v>
      </c>
      <c r="M70">
        <v>169</v>
      </c>
      <c r="N70">
        <v>915000</v>
      </c>
    </row>
    <row r="71" spans="1:14" x14ac:dyDescent="0.25">
      <c r="A71">
        <v>2201</v>
      </c>
      <c r="B71">
        <v>31</v>
      </c>
      <c r="C71" s="18">
        <v>900031454</v>
      </c>
      <c r="D71">
        <v>8</v>
      </c>
      <c r="I71" t="s">
        <v>517</v>
      </c>
      <c r="J71" t="s">
        <v>571</v>
      </c>
      <c r="K71">
        <v>52</v>
      </c>
      <c r="L71" s="5" t="s">
        <v>100</v>
      </c>
      <c r="M71">
        <v>169</v>
      </c>
      <c r="N71">
        <v>993428</v>
      </c>
    </row>
    <row r="72" spans="1:14" x14ac:dyDescent="0.25">
      <c r="A72">
        <v>2201</v>
      </c>
      <c r="B72">
        <v>31</v>
      </c>
      <c r="C72" s="18">
        <v>901329016</v>
      </c>
      <c r="D72">
        <v>1</v>
      </c>
      <c r="I72" t="s">
        <v>518</v>
      </c>
      <c r="J72" t="s">
        <v>572</v>
      </c>
      <c r="K72">
        <v>52</v>
      </c>
      <c r="L72" s="5" t="s">
        <v>100</v>
      </c>
      <c r="M72">
        <v>169</v>
      </c>
      <c r="N72">
        <v>126766</v>
      </c>
    </row>
    <row r="73" spans="1:14" x14ac:dyDescent="0.25">
      <c r="A73">
        <v>2201</v>
      </c>
      <c r="B73">
        <v>13</v>
      </c>
      <c r="C73" s="18">
        <v>29330117</v>
      </c>
      <c r="E73" t="s">
        <v>458</v>
      </c>
      <c r="F73" t="s">
        <v>459</v>
      </c>
      <c r="G73" t="s">
        <v>663</v>
      </c>
      <c r="J73" t="s">
        <v>720</v>
      </c>
      <c r="K73">
        <v>76</v>
      </c>
      <c r="L73" s="18">
        <v>122</v>
      </c>
      <c r="M73">
        <v>169</v>
      </c>
      <c r="N73">
        <v>2240008</v>
      </c>
    </row>
    <row r="74" spans="1:14" x14ac:dyDescent="0.25">
      <c r="A74">
        <v>2201</v>
      </c>
      <c r="B74">
        <v>13</v>
      </c>
      <c r="C74" s="18">
        <v>66997853</v>
      </c>
      <c r="E74" t="s">
        <v>460</v>
      </c>
      <c r="F74" t="s">
        <v>664</v>
      </c>
      <c r="G74" t="s">
        <v>665</v>
      </c>
      <c r="J74" t="s">
        <v>714</v>
      </c>
      <c r="K74">
        <v>76</v>
      </c>
      <c r="L74" s="25" t="s">
        <v>100</v>
      </c>
      <c r="M74">
        <v>169</v>
      </c>
      <c r="N74">
        <v>2240008</v>
      </c>
    </row>
    <row r="75" spans="1:14" x14ac:dyDescent="0.25">
      <c r="A75">
        <v>2201</v>
      </c>
      <c r="B75">
        <v>13</v>
      </c>
      <c r="C75" s="18">
        <v>32772954</v>
      </c>
      <c r="E75" t="s">
        <v>461</v>
      </c>
      <c r="F75" t="s">
        <v>453</v>
      </c>
      <c r="G75" t="s">
        <v>626</v>
      </c>
      <c r="H75" t="s">
        <v>666</v>
      </c>
      <c r="J75" t="s">
        <v>573</v>
      </c>
      <c r="K75">
        <v>76</v>
      </c>
      <c r="L75" s="25" t="s">
        <v>100</v>
      </c>
      <c r="M75">
        <v>169</v>
      </c>
      <c r="N75">
        <v>21409296</v>
      </c>
    </row>
    <row r="76" spans="1:14" x14ac:dyDescent="0.25">
      <c r="A76">
        <v>2201</v>
      </c>
      <c r="B76">
        <v>13</v>
      </c>
      <c r="C76" s="18">
        <v>1053773787</v>
      </c>
      <c r="E76" t="s">
        <v>414</v>
      </c>
      <c r="F76" t="s">
        <v>462</v>
      </c>
      <c r="G76" t="s">
        <v>667</v>
      </c>
      <c r="H76" t="s">
        <v>668</v>
      </c>
      <c r="J76" t="s">
        <v>706</v>
      </c>
      <c r="K76">
        <v>52</v>
      </c>
      <c r="L76" s="5" t="s">
        <v>100</v>
      </c>
      <c r="M76">
        <v>169</v>
      </c>
      <c r="N76">
        <v>126693</v>
      </c>
    </row>
    <row r="77" spans="1:14" x14ac:dyDescent="0.25">
      <c r="A77">
        <v>2201</v>
      </c>
      <c r="B77">
        <v>31</v>
      </c>
      <c r="C77" s="18">
        <v>900062612</v>
      </c>
      <c r="D77">
        <v>8</v>
      </c>
      <c r="I77" t="s">
        <v>199</v>
      </c>
      <c r="J77" t="s">
        <v>28</v>
      </c>
      <c r="K77">
        <v>52</v>
      </c>
      <c r="L77" s="5" t="s">
        <v>100</v>
      </c>
      <c r="M77">
        <v>169</v>
      </c>
      <c r="N77">
        <v>82699544</v>
      </c>
    </row>
    <row r="78" spans="1:14" x14ac:dyDescent="0.25">
      <c r="A78">
        <v>2201</v>
      </c>
      <c r="B78">
        <v>31</v>
      </c>
      <c r="C78" s="18">
        <v>800226175</v>
      </c>
      <c r="D78">
        <v>3</v>
      </c>
      <c r="I78" t="s">
        <v>170</v>
      </c>
      <c r="J78" t="s">
        <v>227</v>
      </c>
      <c r="K78">
        <v>11</v>
      </c>
      <c r="L78" s="5" t="s">
        <v>100</v>
      </c>
      <c r="M78">
        <v>169</v>
      </c>
      <c r="N78">
        <v>4067428</v>
      </c>
    </row>
    <row r="79" spans="1:14" x14ac:dyDescent="0.25">
      <c r="A79">
        <v>2201</v>
      </c>
      <c r="B79">
        <v>31</v>
      </c>
      <c r="C79" s="18">
        <v>860034313</v>
      </c>
      <c r="D79">
        <v>7</v>
      </c>
      <c r="I79" t="s">
        <v>520</v>
      </c>
      <c r="J79" t="s">
        <v>575</v>
      </c>
      <c r="K79">
        <v>11</v>
      </c>
      <c r="L79" s="5" t="s">
        <v>100</v>
      </c>
      <c r="M79">
        <v>169</v>
      </c>
      <c r="N79">
        <v>3333999</v>
      </c>
    </row>
    <row r="80" spans="1:14" x14ac:dyDescent="0.25">
      <c r="A80">
        <v>2201</v>
      </c>
      <c r="B80">
        <v>31</v>
      </c>
      <c r="C80" s="18">
        <v>900258441</v>
      </c>
      <c r="D80">
        <v>8</v>
      </c>
      <c r="I80" t="s">
        <v>521</v>
      </c>
      <c r="J80" t="s">
        <v>576</v>
      </c>
      <c r="K80">
        <v>52</v>
      </c>
      <c r="L80" s="5" t="s">
        <v>100</v>
      </c>
      <c r="M80">
        <v>169</v>
      </c>
      <c r="N80">
        <v>107800</v>
      </c>
    </row>
    <row r="81" spans="1:14" x14ac:dyDescent="0.25">
      <c r="A81">
        <v>2201</v>
      </c>
      <c r="B81">
        <v>31</v>
      </c>
      <c r="C81" s="18">
        <v>800249355</v>
      </c>
      <c r="D81">
        <v>1</v>
      </c>
      <c r="I81" t="s">
        <v>522</v>
      </c>
      <c r="J81" t="s">
        <v>718</v>
      </c>
      <c r="K81">
        <v>52</v>
      </c>
      <c r="L81" s="5" t="s">
        <v>100</v>
      </c>
      <c r="M81">
        <v>169</v>
      </c>
      <c r="N81">
        <v>65500</v>
      </c>
    </row>
    <row r="82" spans="1:14" x14ac:dyDescent="0.25">
      <c r="A82">
        <v>2201</v>
      </c>
      <c r="B82">
        <v>31</v>
      </c>
      <c r="C82" s="18">
        <v>900994857</v>
      </c>
      <c r="D82">
        <v>4</v>
      </c>
      <c r="I82" t="s">
        <v>523</v>
      </c>
      <c r="J82" t="s">
        <v>732</v>
      </c>
      <c r="K82">
        <v>25</v>
      </c>
      <c r="L82" s="18">
        <v>175</v>
      </c>
      <c r="M82">
        <v>169</v>
      </c>
      <c r="N82">
        <v>4492358.55</v>
      </c>
    </row>
    <row r="83" spans="1:14" x14ac:dyDescent="0.25">
      <c r="A83">
        <v>2201</v>
      </c>
      <c r="B83">
        <v>13</v>
      </c>
      <c r="C83" s="18">
        <v>59314743</v>
      </c>
      <c r="E83" t="s">
        <v>463</v>
      </c>
      <c r="F83" t="s">
        <v>464</v>
      </c>
      <c r="G83" t="s">
        <v>669</v>
      </c>
      <c r="H83" t="s">
        <v>365</v>
      </c>
      <c r="J83" t="s">
        <v>735</v>
      </c>
      <c r="K83">
        <v>52</v>
      </c>
      <c r="L83" s="5" t="s">
        <v>100</v>
      </c>
      <c r="M83">
        <v>169</v>
      </c>
      <c r="N83">
        <v>30391668</v>
      </c>
    </row>
    <row r="84" spans="1:14" x14ac:dyDescent="0.25">
      <c r="A84">
        <v>2201</v>
      </c>
      <c r="B84">
        <v>31</v>
      </c>
      <c r="C84" s="18">
        <v>891280000</v>
      </c>
      <c r="D84">
        <v>3</v>
      </c>
      <c r="I84" t="s">
        <v>180</v>
      </c>
      <c r="J84" t="s">
        <v>577</v>
      </c>
      <c r="K84">
        <v>52</v>
      </c>
      <c r="L84" s="5" t="s">
        <v>100</v>
      </c>
      <c r="M84">
        <v>169</v>
      </c>
      <c r="N84">
        <v>4861000</v>
      </c>
    </row>
    <row r="85" spans="1:14" x14ac:dyDescent="0.25">
      <c r="A85">
        <v>2201</v>
      </c>
      <c r="B85">
        <v>31</v>
      </c>
      <c r="C85" s="18">
        <v>800224808</v>
      </c>
      <c r="D85">
        <v>8</v>
      </c>
      <c r="I85" t="s">
        <v>519</v>
      </c>
      <c r="J85" t="s">
        <v>574</v>
      </c>
      <c r="K85">
        <v>52</v>
      </c>
      <c r="L85" s="5" t="s">
        <v>100</v>
      </c>
      <c r="M85">
        <v>169</v>
      </c>
      <c r="N85">
        <v>3329500</v>
      </c>
    </row>
    <row r="86" spans="1:14" x14ac:dyDescent="0.25">
      <c r="A86">
        <v>2201</v>
      </c>
      <c r="B86">
        <v>31</v>
      </c>
      <c r="C86" s="18">
        <v>891280008</v>
      </c>
      <c r="D86">
        <v>1</v>
      </c>
      <c r="I86" t="s">
        <v>524</v>
      </c>
      <c r="J86" t="s">
        <v>578</v>
      </c>
      <c r="K86">
        <v>52</v>
      </c>
      <c r="L86" s="5" t="s">
        <v>100</v>
      </c>
      <c r="M86">
        <v>169</v>
      </c>
      <c r="N86">
        <v>1429100</v>
      </c>
    </row>
    <row r="87" spans="1:14" x14ac:dyDescent="0.25">
      <c r="A87">
        <v>2201</v>
      </c>
      <c r="B87">
        <v>13</v>
      </c>
      <c r="C87" s="18">
        <v>1085269294</v>
      </c>
      <c r="E87" t="s">
        <v>343</v>
      </c>
      <c r="F87" t="s">
        <v>465</v>
      </c>
      <c r="G87" t="s">
        <v>670</v>
      </c>
      <c r="H87" t="s">
        <v>671</v>
      </c>
      <c r="J87" t="s">
        <v>579</v>
      </c>
      <c r="K87">
        <v>52</v>
      </c>
      <c r="L87" s="5" t="s">
        <v>100</v>
      </c>
      <c r="M87">
        <v>169</v>
      </c>
      <c r="N87">
        <v>107640</v>
      </c>
    </row>
    <row r="88" spans="1:14" x14ac:dyDescent="0.25">
      <c r="A88">
        <v>2201</v>
      </c>
      <c r="B88">
        <v>13</v>
      </c>
      <c r="C88" s="18">
        <v>1085269511</v>
      </c>
      <c r="E88" t="s">
        <v>466</v>
      </c>
      <c r="F88" t="s">
        <v>410</v>
      </c>
      <c r="G88" t="s">
        <v>626</v>
      </c>
      <c r="H88" t="s">
        <v>672</v>
      </c>
      <c r="J88" t="s">
        <v>580</v>
      </c>
      <c r="K88">
        <v>52</v>
      </c>
      <c r="L88" s="5" t="s">
        <v>100</v>
      </c>
      <c r="M88">
        <v>169</v>
      </c>
      <c r="N88">
        <v>57056</v>
      </c>
    </row>
    <row r="89" spans="1:14" x14ac:dyDescent="0.25">
      <c r="A89">
        <v>2201</v>
      </c>
      <c r="B89">
        <v>13</v>
      </c>
      <c r="C89" s="18">
        <v>1085325884</v>
      </c>
      <c r="E89" t="s">
        <v>397</v>
      </c>
      <c r="F89" t="s">
        <v>407</v>
      </c>
      <c r="G89" t="s">
        <v>673</v>
      </c>
      <c r="H89" t="s">
        <v>674</v>
      </c>
      <c r="J89" t="s">
        <v>715</v>
      </c>
      <c r="K89">
        <v>52</v>
      </c>
      <c r="L89" s="5" t="s">
        <v>100</v>
      </c>
      <c r="M89">
        <v>169</v>
      </c>
      <c r="N89">
        <v>10000</v>
      </c>
    </row>
    <row r="90" spans="1:14" x14ac:dyDescent="0.25">
      <c r="A90">
        <v>2201</v>
      </c>
      <c r="B90">
        <v>13</v>
      </c>
      <c r="C90" s="18">
        <v>1233194316</v>
      </c>
      <c r="E90" t="s">
        <v>467</v>
      </c>
      <c r="F90" t="s">
        <v>344</v>
      </c>
      <c r="G90" t="s">
        <v>626</v>
      </c>
      <c r="H90" t="s">
        <v>672</v>
      </c>
      <c r="J90" t="s">
        <v>581</v>
      </c>
      <c r="K90">
        <v>52</v>
      </c>
      <c r="L90" s="5" t="s">
        <v>100</v>
      </c>
      <c r="M90">
        <v>169</v>
      </c>
      <c r="N90">
        <v>57056</v>
      </c>
    </row>
    <row r="91" spans="1:14" x14ac:dyDescent="0.25">
      <c r="A91">
        <v>2201</v>
      </c>
      <c r="B91">
        <v>13</v>
      </c>
      <c r="C91" s="18">
        <v>87512317</v>
      </c>
      <c r="E91" t="s">
        <v>468</v>
      </c>
      <c r="F91" t="s">
        <v>460</v>
      </c>
      <c r="G91" t="s">
        <v>675</v>
      </c>
      <c r="H91" t="s">
        <v>676</v>
      </c>
      <c r="J91" t="s">
        <v>723</v>
      </c>
      <c r="K91">
        <v>52</v>
      </c>
      <c r="L91" s="5" t="s">
        <v>100</v>
      </c>
      <c r="M91">
        <v>169</v>
      </c>
      <c r="N91">
        <v>396014</v>
      </c>
    </row>
    <row r="92" spans="1:14" x14ac:dyDescent="0.25">
      <c r="A92">
        <v>2201</v>
      </c>
      <c r="B92">
        <v>31</v>
      </c>
      <c r="C92" s="18">
        <v>891200686</v>
      </c>
      <c r="D92">
        <v>3</v>
      </c>
      <c r="I92" t="s">
        <v>525</v>
      </c>
      <c r="J92" t="s">
        <v>582</v>
      </c>
      <c r="K92">
        <v>52</v>
      </c>
      <c r="L92" s="5" t="s">
        <v>100</v>
      </c>
      <c r="M92">
        <v>169</v>
      </c>
      <c r="N92">
        <v>84390</v>
      </c>
    </row>
    <row r="93" spans="1:14" x14ac:dyDescent="0.25">
      <c r="A93">
        <v>2201</v>
      </c>
      <c r="B93">
        <v>13</v>
      </c>
      <c r="C93" s="18">
        <v>98398711</v>
      </c>
      <c r="D93">
        <v>3</v>
      </c>
      <c r="E93" t="s">
        <v>469</v>
      </c>
      <c r="F93" t="s">
        <v>408</v>
      </c>
      <c r="G93" t="s">
        <v>677</v>
      </c>
      <c r="H93" t="s">
        <v>678</v>
      </c>
      <c r="J93" t="s">
        <v>583</v>
      </c>
      <c r="K93">
        <v>52</v>
      </c>
      <c r="L93" s="5" t="s">
        <v>100</v>
      </c>
      <c r="M93">
        <v>169</v>
      </c>
      <c r="N93">
        <v>2202100</v>
      </c>
    </row>
    <row r="94" spans="1:14" x14ac:dyDescent="0.25">
      <c r="A94">
        <v>2201</v>
      </c>
      <c r="B94">
        <v>13</v>
      </c>
      <c r="C94" s="18">
        <v>27388150</v>
      </c>
      <c r="E94" t="s">
        <v>470</v>
      </c>
      <c r="F94" t="s">
        <v>405</v>
      </c>
      <c r="G94" t="s">
        <v>679</v>
      </c>
      <c r="H94" t="s">
        <v>680</v>
      </c>
      <c r="J94" t="s">
        <v>584</v>
      </c>
      <c r="K94">
        <v>52</v>
      </c>
      <c r="L94" s="18">
        <v>573</v>
      </c>
      <c r="M94">
        <v>169</v>
      </c>
      <c r="N94">
        <v>2240008</v>
      </c>
    </row>
    <row r="95" spans="1:14" x14ac:dyDescent="0.25">
      <c r="A95">
        <v>2201</v>
      </c>
      <c r="B95">
        <v>13</v>
      </c>
      <c r="C95" s="18">
        <v>29700625</v>
      </c>
      <c r="E95" t="s">
        <v>471</v>
      </c>
      <c r="F95" t="s">
        <v>472</v>
      </c>
      <c r="G95" t="s">
        <v>636</v>
      </c>
      <c r="H95" t="s">
        <v>686</v>
      </c>
      <c r="J95" t="s">
        <v>585</v>
      </c>
      <c r="K95">
        <v>76</v>
      </c>
      <c r="L95" s="18">
        <v>563</v>
      </c>
      <c r="M95">
        <v>169</v>
      </c>
      <c r="N95">
        <v>2240008</v>
      </c>
    </row>
    <row r="96" spans="1:14" x14ac:dyDescent="0.25">
      <c r="A96">
        <v>2201</v>
      </c>
      <c r="B96">
        <v>31</v>
      </c>
      <c r="C96" s="18">
        <v>901253693</v>
      </c>
      <c r="D96">
        <v>8</v>
      </c>
      <c r="I96" t="s">
        <v>526</v>
      </c>
      <c r="J96" t="s">
        <v>586</v>
      </c>
      <c r="K96">
        <v>52</v>
      </c>
      <c r="L96" s="5" t="s">
        <v>100</v>
      </c>
      <c r="M96">
        <v>169</v>
      </c>
      <c r="N96">
        <v>5011195</v>
      </c>
    </row>
    <row r="97" spans="1:14" x14ac:dyDescent="0.25">
      <c r="A97">
        <v>2201</v>
      </c>
      <c r="B97">
        <v>13</v>
      </c>
      <c r="C97" s="18">
        <v>31714469</v>
      </c>
      <c r="E97" t="s">
        <v>473</v>
      </c>
      <c r="F97" t="s">
        <v>474</v>
      </c>
      <c r="G97" t="s">
        <v>681</v>
      </c>
      <c r="H97" t="s">
        <v>142</v>
      </c>
      <c r="J97" t="s">
        <v>587</v>
      </c>
      <c r="K97">
        <v>76</v>
      </c>
      <c r="L97" s="25" t="s">
        <v>100</v>
      </c>
      <c r="M97">
        <v>169</v>
      </c>
      <c r="N97">
        <v>47299179</v>
      </c>
    </row>
    <row r="98" spans="1:14" x14ac:dyDescent="0.25">
      <c r="A98">
        <v>2201</v>
      </c>
      <c r="B98">
        <v>13</v>
      </c>
      <c r="C98" s="18">
        <v>36750645</v>
      </c>
      <c r="E98" t="s">
        <v>475</v>
      </c>
      <c r="F98" t="s">
        <v>476</v>
      </c>
      <c r="G98" t="s">
        <v>682</v>
      </c>
      <c r="H98" t="s">
        <v>683</v>
      </c>
      <c r="J98" t="s">
        <v>716</v>
      </c>
      <c r="K98">
        <v>52</v>
      </c>
      <c r="L98" s="5" t="s">
        <v>100</v>
      </c>
      <c r="M98">
        <v>169</v>
      </c>
      <c r="N98">
        <v>10911600</v>
      </c>
    </row>
    <row r="99" spans="1:14" x14ac:dyDescent="0.25">
      <c r="A99">
        <v>2201</v>
      </c>
      <c r="B99">
        <v>13</v>
      </c>
      <c r="C99" s="18">
        <v>94302064</v>
      </c>
      <c r="E99" t="s">
        <v>477</v>
      </c>
      <c r="F99" t="s">
        <v>424</v>
      </c>
      <c r="G99" t="s">
        <v>684</v>
      </c>
      <c r="J99" t="s">
        <v>588</v>
      </c>
      <c r="K99">
        <v>76</v>
      </c>
      <c r="L99" s="25" t="s">
        <v>100</v>
      </c>
      <c r="M99">
        <v>169</v>
      </c>
      <c r="N99">
        <v>16231489</v>
      </c>
    </row>
    <row r="100" spans="1:14" x14ac:dyDescent="0.25">
      <c r="A100">
        <v>2201</v>
      </c>
      <c r="B100">
        <v>13</v>
      </c>
      <c r="C100" s="18">
        <v>98388465</v>
      </c>
      <c r="E100" t="s">
        <v>478</v>
      </c>
      <c r="F100" t="s">
        <v>479</v>
      </c>
      <c r="G100" t="s">
        <v>685</v>
      </c>
      <c r="H100" t="s">
        <v>353</v>
      </c>
      <c r="J100" t="s">
        <v>733</v>
      </c>
      <c r="K100">
        <v>52</v>
      </c>
      <c r="L100" s="5" t="s">
        <v>100</v>
      </c>
      <c r="M100">
        <v>169</v>
      </c>
      <c r="N100">
        <v>22579496</v>
      </c>
    </row>
    <row r="101" spans="1:14" x14ac:dyDescent="0.25">
      <c r="A101">
        <v>2201</v>
      </c>
      <c r="B101">
        <v>31</v>
      </c>
      <c r="C101" s="18">
        <v>800229739</v>
      </c>
      <c r="D101">
        <v>0</v>
      </c>
      <c r="I101" t="s">
        <v>527</v>
      </c>
      <c r="J101" t="s">
        <v>589</v>
      </c>
      <c r="K101">
        <v>11</v>
      </c>
      <c r="L101" s="5" t="s">
        <v>100</v>
      </c>
      <c r="M101">
        <v>169</v>
      </c>
      <c r="N101">
        <v>248000</v>
      </c>
    </row>
    <row r="102" spans="1:14" x14ac:dyDescent="0.25">
      <c r="A102">
        <v>2201</v>
      </c>
      <c r="B102">
        <v>13</v>
      </c>
      <c r="C102" s="18">
        <v>1120217888</v>
      </c>
      <c r="E102" t="s">
        <v>480</v>
      </c>
      <c r="F102" t="s">
        <v>481</v>
      </c>
      <c r="G102" t="s">
        <v>687</v>
      </c>
      <c r="H102" t="s">
        <v>623</v>
      </c>
      <c r="J102" t="s">
        <v>734</v>
      </c>
      <c r="K102">
        <v>52</v>
      </c>
      <c r="L102" s="5" t="s">
        <v>100</v>
      </c>
      <c r="M102">
        <v>169</v>
      </c>
      <c r="N102">
        <v>60385</v>
      </c>
    </row>
    <row r="103" spans="1:14" x14ac:dyDescent="0.25">
      <c r="A103">
        <v>2201</v>
      </c>
      <c r="B103">
        <v>31</v>
      </c>
      <c r="C103" s="18">
        <v>800055869</v>
      </c>
      <c r="D103">
        <v>1</v>
      </c>
      <c r="I103" t="s">
        <v>528</v>
      </c>
      <c r="J103" t="s">
        <v>590</v>
      </c>
      <c r="K103">
        <v>52</v>
      </c>
      <c r="L103" s="5" t="s">
        <v>100</v>
      </c>
      <c r="M103">
        <v>169</v>
      </c>
      <c r="N103">
        <v>992726</v>
      </c>
    </row>
    <row r="104" spans="1:14" x14ac:dyDescent="0.25">
      <c r="A104">
        <v>2201</v>
      </c>
      <c r="B104">
        <v>31</v>
      </c>
      <c r="C104" s="18">
        <v>800006911</v>
      </c>
      <c r="D104">
        <v>4</v>
      </c>
      <c r="I104" t="s">
        <v>529</v>
      </c>
      <c r="K104">
        <v>5</v>
      </c>
      <c r="L104" s="5" t="s">
        <v>100</v>
      </c>
      <c r="M104">
        <v>169</v>
      </c>
      <c r="N104">
        <v>364391</v>
      </c>
    </row>
    <row r="105" spans="1:14" x14ac:dyDescent="0.25">
      <c r="A105">
        <v>2201</v>
      </c>
      <c r="B105">
        <v>31</v>
      </c>
      <c r="C105" s="18">
        <v>891200463</v>
      </c>
      <c r="D105">
        <v>8</v>
      </c>
      <c r="I105" t="s">
        <v>530</v>
      </c>
      <c r="J105" t="s">
        <v>591</v>
      </c>
      <c r="K105">
        <v>52</v>
      </c>
      <c r="L105" s="5" t="s">
        <v>100</v>
      </c>
      <c r="M105">
        <v>169</v>
      </c>
      <c r="N105">
        <v>443072</v>
      </c>
    </row>
    <row r="106" spans="1:14" x14ac:dyDescent="0.25">
      <c r="A106">
        <v>2201</v>
      </c>
      <c r="B106">
        <v>13</v>
      </c>
      <c r="C106" s="18">
        <v>98382030</v>
      </c>
      <c r="E106" t="s">
        <v>390</v>
      </c>
      <c r="F106" t="s">
        <v>482</v>
      </c>
      <c r="G106" t="s">
        <v>688</v>
      </c>
      <c r="H106" t="s">
        <v>689</v>
      </c>
      <c r="J106" t="s">
        <v>592</v>
      </c>
      <c r="K106">
        <v>52</v>
      </c>
      <c r="L106" s="5" t="s">
        <v>100</v>
      </c>
      <c r="M106">
        <v>169</v>
      </c>
      <c r="N106">
        <v>40000</v>
      </c>
    </row>
    <row r="107" spans="1:14" x14ac:dyDescent="0.25">
      <c r="A107">
        <v>2201</v>
      </c>
      <c r="B107">
        <v>13</v>
      </c>
      <c r="C107" s="18">
        <v>31385790</v>
      </c>
      <c r="E107" t="s">
        <v>483</v>
      </c>
      <c r="F107" t="s">
        <v>484</v>
      </c>
      <c r="G107" t="s">
        <v>690</v>
      </c>
      <c r="J107" t="s">
        <v>593</v>
      </c>
      <c r="K107">
        <v>76</v>
      </c>
      <c r="L107" s="18">
        <v>109</v>
      </c>
      <c r="M107">
        <v>169</v>
      </c>
      <c r="N107">
        <v>2240008</v>
      </c>
    </row>
    <row r="108" spans="1:14" x14ac:dyDescent="0.25">
      <c r="A108">
        <v>2201</v>
      </c>
      <c r="B108">
        <v>13</v>
      </c>
      <c r="C108" s="18">
        <v>98378989</v>
      </c>
      <c r="E108" t="s">
        <v>457</v>
      </c>
      <c r="F108" t="s">
        <v>390</v>
      </c>
      <c r="G108" t="s">
        <v>691</v>
      </c>
      <c r="H108" t="s">
        <v>692</v>
      </c>
      <c r="J108" t="s">
        <v>594</v>
      </c>
      <c r="K108">
        <v>52</v>
      </c>
      <c r="L108" s="5" t="s">
        <v>100</v>
      </c>
      <c r="M108">
        <v>169</v>
      </c>
      <c r="N108">
        <v>34545290</v>
      </c>
    </row>
    <row r="109" spans="1:14" x14ac:dyDescent="0.25">
      <c r="A109">
        <v>2201</v>
      </c>
      <c r="B109">
        <v>13</v>
      </c>
      <c r="C109" s="18">
        <v>87714303</v>
      </c>
      <c r="E109" t="s">
        <v>485</v>
      </c>
      <c r="F109" t="s">
        <v>486</v>
      </c>
      <c r="G109" t="s">
        <v>693</v>
      </c>
      <c r="H109" t="s">
        <v>694</v>
      </c>
      <c r="J109" t="s">
        <v>595</v>
      </c>
      <c r="K109">
        <v>52</v>
      </c>
      <c r="L109" s="5" t="s">
        <v>100</v>
      </c>
      <c r="M109">
        <v>169</v>
      </c>
      <c r="N109">
        <v>12937963</v>
      </c>
    </row>
    <row r="110" spans="1:14" x14ac:dyDescent="0.25">
      <c r="A110">
        <v>2201</v>
      </c>
      <c r="B110">
        <v>31</v>
      </c>
      <c r="C110" s="18">
        <v>900156264</v>
      </c>
      <c r="D110">
        <v>2</v>
      </c>
      <c r="I110" t="s">
        <v>229</v>
      </c>
      <c r="J110" t="s">
        <v>230</v>
      </c>
      <c r="K110">
        <v>11</v>
      </c>
      <c r="L110" s="5" t="s">
        <v>100</v>
      </c>
      <c r="M110">
        <v>169</v>
      </c>
      <c r="N110">
        <v>532300</v>
      </c>
    </row>
    <row r="111" spans="1:14" x14ac:dyDescent="0.25">
      <c r="A111">
        <v>2201</v>
      </c>
      <c r="B111">
        <v>31</v>
      </c>
      <c r="C111" s="18">
        <v>900462447</v>
      </c>
      <c r="D111">
        <v>5</v>
      </c>
      <c r="I111" t="s">
        <v>531</v>
      </c>
      <c r="J111" t="s">
        <v>728</v>
      </c>
      <c r="K111">
        <v>11</v>
      </c>
      <c r="L111" s="5" t="s">
        <v>100</v>
      </c>
      <c r="M111">
        <v>169</v>
      </c>
      <c r="N111">
        <v>2000</v>
      </c>
    </row>
    <row r="112" spans="1:14" x14ac:dyDescent="0.25">
      <c r="A112">
        <v>2201</v>
      </c>
      <c r="B112">
        <v>31</v>
      </c>
      <c r="C112" s="18">
        <v>800227940</v>
      </c>
      <c r="D112">
        <v>6</v>
      </c>
      <c r="I112" t="s">
        <v>532</v>
      </c>
      <c r="J112" t="s">
        <v>596</v>
      </c>
      <c r="K112">
        <v>11</v>
      </c>
      <c r="L112" s="5" t="s">
        <v>100</v>
      </c>
      <c r="M112">
        <v>169</v>
      </c>
      <c r="N112">
        <v>879000</v>
      </c>
    </row>
    <row r="113" spans="1:14" x14ac:dyDescent="0.25">
      <c r="A113">
        <v>2201</v>
      </c>
      <c r="B113">
        <v>13</v>
      </c>
      <c r="C113" s="18">
        <v>1004727014</v>
      </c>
      <c r="E113" t="s">
        <v>487</v>
      </c>
      <c r="F113" t="s">
        <v>488</v>
      </c>
      <c r="G113" t="s">
        <v>695</v>
      </c>
      <c r="H113" t="s">
        <v>696</v>
      </c>
      <c r="J113" t="s">
        <v>597</v>
      </c>
      <c r="K113">
        <v>52</v>
      </c>
      <c r="L113" s="5" t="s">
        <v>100</v>
      </c>
      <c r="M113">
        <v>169</v>
      </c>
      <c r="N113">
        <v>57056</v>
      </c>
    </row>
    <row r="114" spans="1:14" x14ac:dyDescent="0.25">
      <c r="A114">
        <v>2201</v>
      </c>
      <c r="B114">
        <v>13</v>
      </c>
      <c r="C114" s="18">
        <v>1085263708</v>
      </c>
      <c r="E114" t="s">
        <v>489</v>
      </c>
      <c r="F114" t="s">
        <v>463</v>
      </c>
      <c r="G114" t="s">
        <v>697</v>
      </c>
      <c r="H114" t="s">
        <v>698</v>
      </c>
      <c r="J114" t="s">
        <v>724</v>
      </c>
      <c r="K114">
        <v>52</v>
      </c>
      <c r="L114" s="5" t="s">
        <v>100</v>
      </c>
      <c r="M114">
        <v>169</v>
      </c>
      <c r="N114">
        <v>73573</v>
      </c>
    </row>
    <row r="115" spans="1:14" x14ac:dyDescent="0.25">
      <c r="A115">
        <v>2201</v>
      </c>
      <c r="B115">
        <v>13</v>
      </c>
      <c r="C115" s="18">
        <v>1085303560</v>
      </c>
      <c r="E115" t="s">
        <v>490</v>
      </c>
      <c r="F115" t="s">
        <v>491</v>
      </c>
      <c r="G115" t="s">
        <v>620</v>
      </c>
      <c r="H115" t="s">
        <v>649</v>
      </c>
      <c r="J115" t="s">
        <v>598</v>
      </c>
      <c r="K115">
        <v>52</v>
      </c>
      <c r="L115" s="5" t="s">
        <v>100</v>
      </c>
      <c r="M115">
        <v>169</v>
      </c>
      <c r="N115">
        <v>72014</v>
      </c>
    </row>
    <row r="116" spans="1:14" x14ac:dyDescent="0.25">
      <c r="A116">
        <v>2201</v>
      </c>
      <c r="B116">
        <v>13</v>
      </c>
      <c r="C116" s="18">
        <v>1085314850</v>
      </c>
      <c r="E116" t="s">
        <v>492</v>
      </c>
      <c r="F116" t="s">
        <v>493</v>
      </c>
      <c r="G116" t="s">
        <v>699</v>
      </c>
      <c r="H116" t="s">
        <v>700</v>
      </c>
      <c r="J116" t="s">
        <v>717</v>
      </c>
      <c r="K116">
        <v>52</v>
      </c>
      <c r="L116" s="5" t="s">
        <v>100</v>
      </c>
      <c r="M116">
        <v>169</v>
      </c>
      <c r="N116">
        <v>15000</v>
      </c>
    </row>
    <row r="117" spans="1:14" x14ac:dyDescent="0.25">
      <c r="A117">
        <v>2201</v>
      </c>
      <c r="B117">
        <v>13</v>
      </c>
      <c r="C117" s="18">
        <v>1088973592</v>
      </c>
      <c r="E117" t="s">
        <v>494</v>
      </c>
      <c r="F117" t="s">
        <v>433</v>
      </c>
      <c r="G117" t="s">
        <v>620</v>
      </c>
      <c r="H117" t="s">
        <v>649</v>
      </c>
      <c r="J117" t="s">
        <v>599</v>
      </c>
      <c r="K117">
        <v>52</v>
      </c>
      <c r="L117" s="5" t="s">
        <v>100</v>
      </c>
      <c r="M117">
        <v>169</v>
      </c>
      <c r="N117">
        <v>75613</v>
      </c>
    </row>
    <row r="118" spans="1:14" x14ac:dyDescent="0.25">
      <c r="A118">
        <v>2201</v>
      </c>
      <c r="B118">
        <v>13</v>
      </c>
      <c r="C118" s="18">
        <v>1130665645</v>
      </c>
      <c r="E118" t="s">
        <v>392</v>
      </c>
      <c r="F118" t="s">
        <v>442</v>
      </c>
      <c r="G118" t="s">
        <v>149</v>
      </c>
      <c r="H118" t="s">
        <v>701</v>
      </c>
      <c r="J118" t="s">
        <v>729</v>
      </c>
      <c r="K118">
        <v>76</v>
      </c>
      <c r="L118" s="5" t="s">
        <v>100</v>
      </c>
      <c r="M118">
        <v>169</v>
      </c>
      <c r="N118">
        <v>86060</v>
      </c>
    </row>
    <row r="119" spans="1:14" x14ac:dyDescent="0.25">
      <c r="A119">
        <v>2201</v>
      </c>
      <c r="B119">
        <v>13</v>
      </c>
      <c r="C119" s="18">
        <v>12750637</v>
      </c>
      <c r="E119" t="s">
        <v>495</v>
      </c>
      <c r="F119" t="s">
        <v>391</v>
      </c>
      <c r="G119" t="s">
        <v>702</v>
      </c>
      <c r="H119" t="s">
        <v>674</v>
      </c>
      <c r="J119" t="s">
        <v>600</v>
      </c>
      <c r="K119">
        <v>52</v>
      </c>
      <c r="L119" s="5" t="s">
        <v>100</v>
      </c>
      <c r="M119">
        <v>169</v>
      </c>
      <c r="N119">
        <v>258244</v>
      </c>
    </row>
    <row r="120" spans="1:14" x14ac:dyDescent="0.25">
      <c r="A120">
        <v>2201</v>
      </c>
      <c r="B120">
        <v>13</v>
      </c>
      <c r="C120" s="18">
        <v>59314619</v>
      </c>
      <c r="E120" t="s">
        <v>496</v>
      </c>
      <c r="F120" t="s">
        <v>497</v>
      </c>
      <c r="G120" t="s">
        <v>631</v>
      </c>
      <c r="H120" t="s">
        <v>636</v>
      </c>
      <c r="J120" t="s">
        <v>601</v>
      </c>
      <c r="K120">
        <v>52</v>
      </c>
      <c r="L120" s="5" t="s">
        <v>100</v>
      </c>
      <c r="M120">
        <v>169</v>
      </c>
      <c r="N120">
        <v>39191</v>
      </c>
    </row>
    <row r="121" spans="1:14" x14ac:dyDescent="0.25">
      <c r="A121">
        <v>2201</v>
      </c>
      <c r="B121">
        <v>13</v>
      </c>
      <c r="C121" s="18">
        <v>94531521</v>
      </c>
      <c r="E121" t="s">
        <v>498</v>
      </c>
      <c r="F121" t="s">
        <v>499</v>
      </c>
      <c r="G121" t="s">
        <v>703</v>
      </c>
      <c r="J121" t="s">
        <v>725</v>
      </c>
      <c r="K121">
        <v>76</v>
      </c>
      <c r="L121" s="5" t="s">
        <v>100</v>
      </c>
      <c r="M121">
        <v>169</v>
      </c>
      <c r="N121">
        <v>291394</v>
      </c>
    </row>
    <row r="122" spans="1:14" x14ac:dyDescent="0.25">
      <c r="A122">
        <v>2201</v>
      </c>
      <c r="B122">
        <v>13</v>
      </c>
      <c r="C122" s="18">
        <v>98386834</v>
      </c>
      <c r="E122" t="s">
        <v>490</v>
      </c>
      <c r="F122" t="s">
        <v>433</v>
      </c>
      <c r="G122" t="s">
        <v>622</v>
      </c>
      <c r="H122" t="s">
        <v>353</v>
      </c>
      <c r="J122" t="s">
        <v>602</v>
      </c>
      <c r="K122">
        <v>52</v>
      </c>
      <c r="L122" s="5" t="s">
        <v>100</v>
      </c>
      <c r="M122">
        <v>169</v>
      </c>
      <c r="N122">
        <v>63224</v>
      </c>
    </row>
    <row r="126" spans="1:14" x14ac:dyDescent="0.25">
      <c r="N126" s="6"/>
    </row>
    <row r="129" spans="14:14" x14ac:dyDescent="0.25">
      <c r="N129" s="6"/>
    </row>
  </sheetData>
  <autoFilter ref="A1:N122"/>
  <conditionalFormatting sqref="C2:C122">
    <cfRule type="duplicateValues" dxfId="2" priority="1"/>
    <cfRule type="duplicateValues" dxfId="1" priority="38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B3:L5"/>
  <sheetViews>
    <sheetView workbookViewId="0">
      <selection activeCell="K5" sqref="K5"/>
    </sheetView>
  </sheetViews>
  <sheetFormatPr baseColWidth="10" defaultRowHeight="15" x14ac:dyDescent="0.25"/>
  <sheetData>
    <row r="3" spans="2:12" ht="25.5" x14ac:dyDescent="0.25">
      <c r="B3" s="26" t="s">
        <v>739</v>
      </c>
      <c r="C3" s="26" t="s">
        <v>740</v>
      </c>
      <c r="D3" s="26" t="s">
        <v>741</v>
      </c>
      <c r="E3" s="26" t="s">
        <v>742</v>
      </c>
      <c r="F3" s="26"/>
      <c r="G3" s="26"/>
      <c r="H3" s="26"/>
      <c r="I3" s="26"/>
      <c r="J3" s="26" t="s">
        <v>743</v>
      </c>
      <c r="K3" s="26" t="s">
        <v>744</v>
      </c>
      <c r="L3" s="27">
        <v>916385389</v>
      </c>
    </row>
    <row r="4" spans="2:12" ht="38.25" x14ac:dyDescent="0.25">
      <c r="B4" s="28" t="s">
        <v>751</v>
      </c>
      <c r="C4" s="28" t="s">
        <v>740</v>
      </c>
      <c r="D4" s="28" t="s">
        <v>745</v>
      </c>
      <c r="E4" s="28" t="s">
        <v>746</v>
      </c>
      <c r="F4" s="28"/>
      <c r="G4" s="28"/>
      <c r="H4" s="28"/>
      <c r="I4" s="28"/>
      <c r="J4" s="28" t="s">
        <v>747</v>
      </c>
      <c r="K4" s="28" t="s">
        <v>744</v>
      </c>
      <c r="L4" s="29">
        <v>936922776</v>
      </c>
    </row>
    <row r="5" spans="2:12" ht="76.5" x14ac:dyDescent="0.25">
      <c r="B5" s="28" t="s">
        <v>750</v>
      </c>
      <c r="C5" s="28" t="s">
        <v>740</v>
      </c>
      <c r="D5" s="28" t="s">
        <v>748</v>
      </c>
      <c r="E5" s="28" t="s">
        <v>742</v>
      </c>
      <c r="F5" s="28"/>
      <c r="G5" s="28"/>
      <c r="H5" s="28"/>
      <c r="I5" s="28"/>
      <c r="J5" s="28" t="s">
        <v>749</v>
      </c>
      <c r="K5" s="28" t="s">
        <v>744</v>
      </c>
      <c r="L5" s="29">
        <v>200000000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tabSelected="1" workbookViewId="0">
      <selection activeCell="D23" sqref="D21:D23"/>
    </sheetView>
  </sheetViews>
  <sheetFormatPr baseColWidth="10" defaultRowHeight="15" x14ac:dyDescent="0.25"/>
  <cols>
    <col min="3" max="3" width="15.140625" bestFit="1" customWidth="1"/>
    <col min="4" max="4" width="105.42578125" bestFit="1" customWidth="1"/>
  </cols>
  <sheetData>
    <row r="2" spans="2:5" x14ac:dyDescent="0.25">
      <c r="B2" s="30" t="s">
        <v>85</v>
      </c>
      <c r="C2" s="30" t="s">
        <v>752</v>
      </c>
      <c r="D2" s="31" t="s">
        <v>753</v>
      </c>
      <c r="E2" s="31" t="s">
        <v>754</v>
      </c>
    </row>
    <row r="3" spans="2:5" x14ac:dyDescent="0.25">
      <c r="B3" s="32">
        <v>8243</v>
      </c>
      <c r="C3" s="33">
        <v>940500</v>
      </c>
      <c r="D3" s="34" t="s">
        <v>755</v>
      </c>
      <c r="E3" s="18"/>
    </row>
    <row r="4" spans="2:5" x14ac:dyDescent="0.25">
      <c r="B4" s="32">
        <v>8241</v>
      </c>
      <c r="C4" s="33">
        <v>1410600</v>
      </c>
      <c r="D4" s="34" t="s">
        <v>756</v>
      </c>
      <c r="E4" s="18"/>
    </row>
    <row r="5" spans="2:5" x14ac:dyDescent="0.25">
      <c r="B5" s="32">
        <v>8211</v>
      </c>
      <c r="C5" s="33">
        <v>294753</v>
      </c>
      <c r="D5" s="35" t="s">
        <v>757</v>
      </c>
      <c r="E5" s="18">
        <v>115</v>
      </c>
    </row>
    <row r="6" spans="2:5" x14ac:dyDescent="0.25">
      <c r="B6" s="32">
        <v>8284</v>
      </c>
      <c r="C6" s="33">
        <v>30127920</v>
      </c>
      <c r="D6" s="36" t="s">
        <v>758</v>
      </c>
      <c r="E6" s="37" t="s">
        <v>759</v>
      </c>
    </row>
    <row r="7" spans="2:5" x14ac:dyDescent="0.25">
      <c r="B7" s="32">
        <v>8295</v>
      </c>
      <c r="C7" s="33">
        <v>11229897</v>
      </c>
      <c r="D7" s="36" t="s">
        <v>760</v>
      </c>
      <c r="E7" s="37"/>
    </row>
    <row r="8" spans="2:5" x14ac:dyDescent="0.25">
      <c r="B8" s="32">
        <v>8242</v>
      </c>
      <c r="C8" s="33">
        <v>14401100</v>
      </c>
      <c r="D8" s="34" t="s">
        <v>761</v>
      </c>
      <c r="E8" s="18"/>
    </row>
    <row r="9" spans="2:5" x14ac:dyDescent="0.25">
      <c r="B9" s="32">
        <v>8207</v>
      </c>
      <c r="C9" s="33">
        <v>471385880</v>
      </c>
      <c r="D9" s="34" t="s">
        <v>762</v>
      </c>
      <c r="E9" s="18"/>
    </row>
    <row r="10" spans="2:5" x14ac:dyDescent="0.25">
      <c r="B10" s="32">
        <v>8228</v>
      </c>
      <c r="C10" s="33">
        <v>23428464</v>
      </c>
      <c r="D10" t="s">
        <v>763</v>
      </c>
    </row>
    <row r="11" spans="2:5" x14ac:dyDescent="0.25">
      <c r="B11" s="32">
        <v>8244</v>
      </c>
      <c r="C11" s="33">
        <v>54062385</v>
      </c>
      <c r="D11" t="s">
        <v>766</v>
      </c>
    </row>
    <row r="12" spans="2:5" x14ac:dyDescent="0.25">
      <c r="B12" s="32">
        <v>8259</v>
      </c>
      <c r="C12" s="33">
        <v>4942668</v>
      </c>
      <c r="D12" t="s">
        <v>767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09"/>
  <sheetViews>
    <sheetView workbookViewId="0">
      <selection activeCell="F6" sqref="F6"/>
    </sheetView>
  </sheetViews>
  <sheetFormatPr baseColWidth="10" defaultRowHeight="15" x14ac:dyDescent="0.25"/>
  <cols>
    <col min="1" max="1" width="38.140625" bestFit="1" customWidth="1"/>
    <col min="2" max="2" width="17.7109375" bestFit="1" customWidth="1"/>
    <col min="6" max="7" width="13.85546875" bestFit="1" customWidth="1"/>
    <col min="8" max="8" width="12" bestFit="1" customWidth="1"/>
  </cols>
  <sheetData>
    <row r="3" spans="1:8" x14ac:dyDescent="0.25">
      <c r="A3" s="17" t="s">
        <v>249</v>
      </c>
    </row>
    <row r="4" spans="1:8" x14ac:dyDescent="0.25">
      <c r="A4" s="17" t="s">
        <v>182</v>
      </c>
      <c r="B4" s="17" t="s">
        <v>183</v>
      </c>
      <c r="C4" s="17" t="s">
        <v>185</v>
      </c>
      <c r="D4" s="17" t="s">
        <v>187</v>
      </c>
      <c r="E4" s="17" t="s">
        <v>188</v>
      </c>
      <c r="F4" s="17" t="s">
        <v>189</v>
      </c>
      <c r="G4" s="17" t="s">
        <v>190</v>
      </c>
      <c r="H4" t="s">
        <v>250</v>
      </c>
    </row>
    <row r="5" spans="1:8" x14ac:dyDescent="0.25">
      <c r="A5">
        <v>16150501</v>
      </c>
      <c r="B5">
        <v>814006009</v>
      </c>
      <c r="C5" t="s">
        <v>192</v>
      </c>
      <c r="D5" t="s">
        <v>193</v>
      </c>
      <c r="E5">
        <v>169</v>
      </c>
      <c r="F5">
        <v>16952</v>
      </c>
      <c r="G5">
        <v>16952001</v>
      </c>
      <c r="H5" s="19">
        <v>3379840</v>
      </c>
    </row>
    <row r="6" spans="1:8" x14ac:dyDescent="0.25">
      <c r="F6" t="s">
        <v>251</v>
      </c>
      <c r="H6" s="19">
        <v>3379840</v>
      </c>
    </row>
    <row r="7" spans="1:8" x14ac:dyDescent="0.25">
      <c r="E7" t="s">
        <v>252</v>
      </c>
      <c r="H7" s="19">
        <v>3379840</v>
      </c>
    </row>
    <row r="8" spans="1:8" x14ac:dyDescent="0.25">
      <c r="D8" t="s">
        <v>253</v>
      </c>
      <c r="H8" s="19">
        <v>3379840</v>
      </c>
    </row>
    <row r="9" spans="1:8" x14ac:dyDescent="0.25">
      <c r="C9" t="s">
        <v>321</v>
      </c>
      <c r="H9" s="19">
        <v>3379840</v>
      </c>
    </row>
    <row r="10" spans="1:8" x14ac:dyDescent="0.25">
      <c r="B10" t="s">
        <v>254</v>
      </c>
      <c r="H10" s="19">
        <v>3379840</v>
      </c>
    </row>
    <row r="11" spans="1:8" x14ac:dyDescent="0.25">
      <c r="B11">
        <v>814006325</v>
      </c>
      <c r="C11" t="s">
        <v>116</v>
      </c>
      <c r="D11" t="s">
        <v>195</v>
      </c>
      <c r="E11">
        <v>169</v>
      </c>
      <c r="F11">
        <v>16952</v>
      </c>
      <c r="G11">
        <v>16952001</v>
      </c>
      <c r="H11" s="19">
        <v>3976500</v>
      </c>
    </row>
    <row r="12" spans="1:8" x14ac:dyDescent="0.25">
      <c r="F12" t="s">
        <v>251</v>
      </c>
      <c r="H12" s="19">
        <v>3976500</v>
      </c>
    </row>
    <row r="13" spans="1:8" x14ac:dyDescent="0.25">
      <c r="E13" t="s">
        <v>252</v>
      </c>
      <c r="H13" s="19">
        <v>3976500</v>
      </c>
    </row>
    <row r="14" spans="1:8" x14ac:dyDescent="0.25">
      <c r="D14" t="s">
        <v>255</v>
      </c>
      <c r="H14" s="19">
        <v>3976500</v>
      </c>
    </row>
    <row r="15" spans="1:8" x14ac:dyDescent="0.25">
      <c r="C15" t="s">
        <v>320</v>
      </c>
      <c r="H15" s="19">
        <v>3976500</v>
      </c>
    </row>
    <row r="16" spans="1:8" x14ac:dyDescent="0.25">
      <c r="B16" t="s">
        <v>256</v>
      </c>
      <c r="H16" s="19">
        <v>3976500</v>
      </c>
    </row>
    <row r="17" spans="2:8" x14ac:dyDescent="0.25">
      <c r="B17">
        <v>900057647</v>
      </c>
      <c r="C17" t="s">
        <v>196</v>
      </c>
      <c r="D17" t="s">
        <v>198</v>
      </c>
      <c r="E17">
        <v>169</v>
      </c>
      <c r="F17">
        <v>16976</v>
      </c>
      <c r="G17">
        <v>16976001</v>
      </c>
      <c r="H17" s="19">
        <v>57219718</v>
      </c>
    </row>
    <row r="18" spans="2:8" x14ac:dyDescent="0.25">
      <c r="F18" t="s">
        <v>257</v>
      </c>
      <c r="H18" s="19">
        <v>57219718</v>
      </c>
    </row>
    <row r="19" spans="2:8" x14ac:dyDescent="0.25">
      <c r="E19" t="s">
        <v>252</v>
      </c>
      <c r="H19" s="19">
        <v>57219718</v>
      </c>
    </row>
    <row r="20" spans="2:8" x14ac:dyDescent="0.25">
      <c r="D20" t="s">
        <v>258</v>
      </c>
      <c r="H20" s="19">
        <v>57219718</v>
      </c>
    </row>
    <row r="21" spans="2:8" x14ac:dyDescent="0.25">
      <c r="C21" t="s">
        <v>318</v>
      </c>
      <c r="H21" s="19">
        <v>57219718</v>
      </c>
    </row>
    <row r="22" spans="2:8" x14ac:dyDescent="0.25">
      <c r="B22" t="s">
        <v>259</v>
      </c>
      <c r="H22" s="19">
        <v>57219718</v>
      </c>
    </row>
    <row r="23" spans="2:8" x14ac:dyDescent="0.25">
      <c r="B23">
        <v>900062612</v>
      </c>
      <c r="C23" t="s">
        <v>199</v>
      </c>
      <c r="D23" t="s">
        <v>28</v>
      </c>
      <c r="E23">
        <v>169</v>
      </c>
      <c r="F23">
        <v>16952</v>
      </c>
      <c r="G23">
        <v>16952001</v>
      </c>
      <c r="H23" s="19">
        <v>149255912</v>
      </c>
    </row>
    <row r="24" spans="2:8" x14ac:dyDescent="0.25">
      <c r="F24" t="s">
        <v>251</v>
      </c>
      <c r="H24" s="19">
        <v>149255912</v>
      </c>
    </row>
    <row r="25" spans="2:8" x14ac:dyDescent="0.25">
      <c r="E25" t="s">
        <v>252</v>
      </c>
      <c r="H25" s="19">
        <v>149255912</v>
      </c>
    </row>
    <row r="26" spans="2:8" x14ac:dyDescent="0.25">
      <c r="D26" t="s">
        <v>260</v>
      </c>
      <c r="H26" s="19">
        <v>149255912</v>
      </c>
    </row>
    <row r="27" spans="2:8" x14ac:dyDescent="0.25">
      <c r="C27" t="s">
        <v>317</v>
      </c>
      <c r="H27" s="19">
        <v>149255912</v>
      </c>
    </row>
    <row r="28" spans="2:8" x14ac:dyDescent="0.25">
      <c r="B28" t="s">
        <v>261</v>
      </c>
      <c r="H28" s="19">
        <v>149255912</v>
      </c>
    </row>
    <row r="29" spans="2:8" x14ac:dyDescent="0.25">
      <c r="B29">
        <v>900077584</v>
      </c>
      <c r="C29" t="s">
        <v>201</v>
      </c>
      <c r="D29" t="s">
        <v>202</v>
      </c>
      <c r="E29">
        <v>169</v>
      </c>
      <c r="F29">
        <v>16952</v>
      </c>
      <c r="G29">
        <v>16952001</v>
      </c>
      <c r="H29" s="19">
        <v>292154792.80000001</v>
      </c>
    </row>
    <row r="30" spans="2:8" x14ac:dyDescent="0.25">
      <c r="F30" t="s">
        <v>251</v>
      </c>
      <c r="H30" s="19">
        <v>292154792.80000001</v>
      </c>
    </row>
    <row r="31" spans="2:8" x14ac:dyDescent="0.25">
      <c r="E31" t="s">
        <v>252</v>
      </c>
      <c r="H31" s="19">
        <v>292154792.80000001</v>
      </c>
    </row>
    <row r="32" spans="2:8" x14ac:dyDescent="0.25">
      <c r="D32" t="s">
        <v>262</v>
      </c>
      <c r="H32" s="19">
        <v>292154792.80000001</v>
      </c>
    </row>
    <row r="33" spans="1:8" x14ac:dyDescent="0.25">
      <c r="C33" t="s">
        <v>316</v>
      </c>
      <c r="H33" s="19">
        <v>292154792.80000001</v>
      </c>
    </row>
    <row r="34" spans="1:8" x14ac:dyDescent="0.25">
      <c r="B34" t="s">
        <v>263</v>
      </c>
      <c r="H34" s="19">
        <v>292154792.80000001</v>
      </c>
    </row>
    <row r="35" spans="1:8" x14ac:dyDescent="0.25">
      <c r="B35">
        <v>901021565</v>
      </c>
      <c r="C35" t="s">
        <v>203</v>
      </c>
      <c r="D35" t="s">
        <v>28</v>
      </c>
      <c r="E35">
        <v>169</v>
      </c>
      <c r="F35">
        <v>16952</v>
      </c>
      <c r="G35">
        <v>16952001</v>
      </c>
      <c r="H35" s="19">
        <v>758917190</v>
      </c>
    </row>
    <row r="36" spans="1:8" x14ac:dyDescent="0.25">
      <c r="F36" t="s">
        <v>251</v>
      </c>
      <c r="H36" s="19">
        <v>758917190</v>
      </c>
    </row>
    <row r="37" spans="1:8" x14ac:dyDescent="0.25">
      <c r="E37" t="s">
        <v>252</v>
      </c>
      <c r="H37" s="19">
        <v>758917190</v>
      </c>
    </row>
    <row r="38" spans="1:8" x14ac:dyDescent="0.25">
      <c r="D38" t="s">
        <v>260</v>
      </c>
      <c r="H38" s="19">
        <v>758917190</v>
      </c>
    </row>
    <row r="39" spans="1:8" x14ac:dyDescent="0.25">
      <c r="C39" t="s">
        <v>319</v>
      </c>
      <c r="H39" s="19">
        <v>758917190</v>
      </c>
    </row>
    <row r="40" spans="1:8" x14ac:dyDescent="0.25">
      <c r="B40" t="s">
        <v>264</v>
      </c>
      <c r="H40" s="19">
        <v>758917190</v>
      </c>
    </row>
    <row r="41" spans="1:8" x14ac:dyDescent="0.25">
      <c r="A41" t="s">
        <v>265</v>
      </c>
      <c r="H41" s="19">
        <v>1264903952.8</v>
      </c>
    </row>
    <row r="42" spans="1:8" x14ac:dyDescent="0.25">
      <c r="A42">
        <v>16301501</v>
      </c>
      <c r="B42">
        <v>900562602</v>
      </c>
      <c r="C42" t="s">
        <v>204</v>
      </c>
      <c r="D42" t="s">
        <v>206</v>
      </c>
      <c r="E42">
        <v>169</v>
      </c>
      <c r="F42">
        <v>16952</v>
      </c>
      <c r="G42">
        <v>16952001</v>
      </c>
      <c r="H42" s="19">
        <v>2117100</v>
      </c>
    </row>
    <row r="43" spans="1:8" x14ac:dyDescent="0.25">
      <c r="F43" t="s">
        <v>251</v>
      </c>
      <c r="H43" s="19">
        <v>2117100</v>
      </c>
    </row>
    <row r="44" spans="1:8" x14ac:dyDescent="0.25">
      <c r="E44" t="s">
        <v>252</v>
      </c>
      <c r="H44" s="19">
        <v>2117100</v>
      </c>
    </row>
    <row r="45" spans="1:8" x14ac:dyDescent="0.25">
      <c r="D45" t="s">
        <v>266</v>
      </c>
      <c r="H45" s="19">
        <v>2117100</v>
      </c>
    </row>
    <row r="46" spans="1:8" x14ac:dyDescent="0.25">
      <c r="C46" t="s">
        <v>322</v>
      </c>
      <c r="H46" s="19">
        <v>2117100</v>
      </c>
    </row>
    <row r="47" spans="1:8" x14ac:dyDescent="0.25">
      <c r="B47" t="s">
        <v>267</v>
      </c>
      <c r="H47" s="19">
        <v>2117100</v>
      </c>
    </row>
    <row r="48" spans="1:8" x14ac:dyDescent="0.25">
      <c r="A48" t="s">
        <v>268</v>
      </c>
      <c r="H48" s="19">
        <v>2117100</v>
      </c>
    </row>
    <row r="49" spans="1:8" x14ac:dyDescent="0.25">
      <c r="A49">
        <v>16309501</v>
      </c>
      <c r="B49">
        <v>12979678</v>
      </c>
      <c r="C49" t="s">
        <v>215</v>
      </c>
      <c r="D49" t="s">
        <v>216</v>
      </c>
      <c r="E49">
        <v>169</v>
      </c>
      <c r="F49">
        <v>16952</v>
      </c>
      <c r="G49">
        <v>16952001</v>
      </c>
      <c r="H49" s="19">
        <v>8730000</v>
      </c>
    </row>
    <row r="50" spans="1:8" x14ac:dyDescent="0.25">
      <c r="F50" t="s">
        <v>251</v>
      </c>
      <c r="H50" s="19">
        <v>8730000</v>
      </c>
    </row>
    <row r="51" spans="1:8" x14ac:dyDescent="0.25">
      <c r="E51" t="s">
        <v>252</v>
      </c>
      <c r="H51" s="19">
        <v>8730000</v>
      </c>
    </row>
    <row r="52" spans="1:8" x14ac:dyDescent="0.25">
      <c r="D52" t="s">
        <v>269</v>
      </c>
      <c r="H52" s="19">
        <v>8730000</v>
      </c>
    </row>
    <row r="53" spans="1:8" x14ac:dyDescent="0.25">
      <c r="C53" t="s">
        <v>323</v>
      </c>
      <c r="H53" s="19">
        <v>8730000</v>
      </c>
    </row>
    <row r="54" spans="1:8" x14ac:dyDescent="0.25">
      <c r="B54" t="s">
        <v>270</v>
      </c>
      <c r="H54" s="19">
        <v>8730000</v>
      </c>
    </row>
    <row r="55" spans="1:8" x14ac:dyDescent="0.25">
      <c r="B55">
        <v>16738238</v>
      </c>
      <c r="C55" t="s">
        <v>217</v>
      </c>
      <c r="D55" t="s">
        <v>218</v>
      </c>
      <c r="E55">
        <v>169</v>
      </c>
      <c r="F55">
        <v>16976</v>
      </c>
      <c r="G55">
        <v>16976001</v>
      </c>
      <c r="H55" s="19">
        <v>32000000</v>
      </c>
    </row>
    <row r="56" spans="1:8" x14ac:dyDescent="0.25">
      <c r="F56" t="s">
        <v>257</v>
      </c>
      <c r="H56" s="19">
        <v>32000000</v>
      </c>
    </row>
    <row r="57" spans="1:8" x14ac:dyDescent="0.25">
      <c r="E57" t="s">
        <v>252</v>
      </c>
      <c r="H57" s="19">
        <v>32000000</v>
      </c>
    </row>
    <row r="58" spans="1:8" x14ac:dyDescent="0.25">
      <c r="D58" t="s">
        <v>271</v>
      </c>
      <c r="H58" s="19">
        <v>32000000</v>
      </c>
    </row>
    <row r="59" spans="1:8" x14ac:dyDescent="0.25">
      <c r="C59" t="s">
        <v>324</v>
      </c>
      <c r="H59" s="19">
        <v>32000000</v>
      </c>
    </row>
    <row r="60" spans="1:8" x14ac:dyDescent="0.25">
      <c r="B60" t="s">
        <v>272</v>
      </c>
      <c r="H60" s="19">
        <v>32000000</v>
      </c>
    </row>
    <row r="61" spans="1:8" x14ac:dyDescent="0.25">
      <c r="B61">
        <v>59314743</v>
      </c>
      <c r="C61" t="s">
        <v>219</v>
      </c>
      <c r="D61" t="s">
        <v>220</v>
      </c>
      <c r="E61">
        <v>169</v>
      </c>
      <c r="F61">
        <v>16952</v>
      </c>
      <c r="G61">
        <v>16952001</v>
      </c>
      <c r="H61" s="19">
        <v>6934722</v>
      </c>
    </row>
    <row r="62" spans="1:8" x14ac:dyDescent="0.25">
      <c r="F62" t="s">
        <v>251</v>
      </c>
      <c r="H62" s="19">
        <v>6934722</v>
      </c>
    </row>
    <row r="63" spans="1:8" x14ac:dyDescent="0.25">
      <c r="E63" t="s">
        <v>252</v>
      </c>
      <c r="H63" s="19">
        <v>6934722</v>
      </c>
    </row>
    <row r="64" spans="1:8" x14ac:dyDescent="0.25">
      <c r="D64" t="s">
        <v>273</v>
      </c>
      <c r="H64" s="19">
        <v>6934722</v>
      </c>
    </row>
    <row r="65" spans="2:8" x14ac:dyDescent="0.25">
      <c r="C65" t="s">
        <v>326</v>
      </c>
      <c r="H65" s="19">
        <v>6934722</v>
      </c>
    </row>
    <row r="66" spans="2:8" x14ac:dyDescent="0.25">
      <c r="B66" t="s">
        <v>274</v>
      </c>
      <c r="H66" s="19">
        <v>6934722</v>
      </c>
    </row>
    <row r="67" spans="2:8" x14ac:dyDescent="0.25">
      <c r="B67">
        <v>59678077</v>
      </c>
      <c r="C67" t="s">
        <v>221</v>
      </c>
      <c r="D67" t="s">
        <v>222</v>
      </c>
      <c r="E67">
        <v>169</v>
      </c>
      <c r="F67">
        <v>16976</v>
      </c>
      <c r="G67">
        <v>16976001</v>
      </c>
      <c r="H67" s="19">
        <v>32500000</v>
      </c>
    </row>
    <row r="68" spans="2:8" x14ac:dyDescent="0.25">
      <c r="F68" t="s">
        <v>257</v>
      </c>
      <c r="H68" s="19">
        <v>32500000</v>
      </c>
    </row>
    <row r="69" spans="2:8" x14ac:dyDescent="0.25">
      <c r="E69" t="s">
        <v>252</v>
      </c>
      <c r="H69" s="19">
        <v>32500000</v>
      </c>
    </row>
    <row r="70" spans="2:8" x14ac:dyDescent="0.25">
      <c r="D70" t="s">
        <v>275</v>
      </c>
      <c r="H70" s="19">
        <v>32500000</v>
      </c>
    </row>
    <row r="71" spans="2:8" x14ac:dyDescent="0.25">
      <c r="C71" t="s">
        <v>331</v>
      </c>
      <c r="H71" s="19">
        <v>32500000</v>
      </c>
    </row>
    <row r="72" spans="2:8" x14ac:dyDescent="0.25">
      <c r="B72" t="s">
        <v>276</v>
      </c>
      <c r="H72" s="19">
        <v>32500000</v>
      </c>
    </row>
    <row r="73" spans="2:8" x14ac:dyDescent="0.25">
      <c r="B73">
        <v>98388842</v>
      </c>
      <c r="C73" t="s">
        <v>224</v>
      </c>
      <c r="D73" t="s">
        <v>226</v>
      </c>
      <c r="E73">
        <v>169</v>
      </c>
      <c r="F73">
        <v>16952</v>
      </c>
      <c r="G73">
        <v>16952001</v>
      </c>
      <c r="H73" s="19">
        <v>9227493</v>
      </c>
    </row>
    <row r="74" spans="2:8" x14ac:dyDescent="0.25">
      <c r="F74" t="s">
        <v>251</v>
      </c>
      <c r="H74" s="19">
        <v>9227493</v>
      </c>
    </row>
    <row r="75" spans="2:8" x14ac:dyDescent="0.25">
      <c r="E75" t="s">
        <v>252</v>
      </c>
      <c r="H75" s="19">
        <v>9227493</v>
      </c>
    </row>
    <row r="76" spans="2:8" x14ac:dyDescent="0.25">
      <c r="D76" t="s">
        <v>277</v>
      </c>
      <c r="H76" s="19">
        <v>9227493</v>
      </c>
    </row>
    <row r="77" spans="2:8" x14ac:dyDescent="0.25">
      <c r="C77" t="s">
        <v>328</v>
      </c>
      <c r="H77" s="19">
        <v>9227493</v>
      </c>
    </row>
    <row r="78" spans="2:8" x14ac:dyDescent="0.25">
      <c r="B78" t="s">
        <v>278</v>
      </c>
      <c r="H78" s="19">
        <v>9227493</v>
      </c>
    </row>
    <row r="79" spans="2:8" x14ac:dyDescent="0.25">
      <c r="B79">
        <v>900163149</v>
      </c>
      <c r="C79" t="s">
        <v>126</v>
      </c>
      <c r="D79" t="s">
        <v>223</v>
      </c>
      <c r="E79">
        <v>169</v>
      </c>
      <c r="F79">
        <v>16952</v>
      </c>
      <c r="G79">
        <v>16952001</v>
      </c>
      <c r="H79" s="19">
        <v>160650</v>
      </c>
    </row>
    <row r="80" spans="2:8" x14ac:dyDescent="0.25">
      <c r="F80" t="s">
        <v>251</v>
      </c>
      <c r="H80" s="19">
        <v>160650</v>
      </c>
    </row>
    <row r="81" spans="2:8" x14ac:dyDescent="0.25">
      <c r="E81" t="s">
        <v>252</v>
      </c>
      <c r="H81" s="19">
        <v>160650</v>
      </c>
    </row>
    <row r="82" spans="2:8" x14ac:dyDescent="0.25">
      <c r="D82" t="s">
        <v>279</v>
      </c>
      <c r="H82" s="19">
        <v>160650</v>
      </c>
    </row>
    <row r="83" spans="2:8" x14ac:dyDescent="0.25">
      <c r="C83" t="s">
        <v>330</v>
      </c>
      <c r="H83" s="19">
        <v>160650</v>
      </c>
    </row>
    <row r="84" spans="2:8" x14ac:dyDescent="0.25">
      <c r="B84" t="s">
        <v>280</v>
      </c>
      <c r="H84" s="19">
        <v>160650</v>
      </c>
    </row>
    <row r="85" spans="2:8" x14ac:dyDescent="0.25">
      <c r="B85">
        <v>1080690236</v>
      </c>
      <c r="C85" t="s">
        <v>207</v>
      </c>
      <c r="D85" t="s">
        <v>209</v>
      </c>
      <c r="E85">
        <v>169</v>
      </c>
      <c r="F85">
        <v>16952</v>
      </c>
      <c r="G85">
        <v>16952001</v>
      </c>
      <c r="H85" s="19">
        <v>600000</v>
      </c>
    </row>
    <row r="86" spans="2:8" x14ac:dyDescent="0.25">
      <c r="F86" t="s">
        <v>251</v>
      </c>
      <c r="H86" s="19">
        <v>600000</v>
      </c>
    </row>
    <row r="87" spans="2:8" x14ac:dyDescent="0.25">
      <c r="E87" t="s">
        <v>252</v>
      </c>
      <c r="H87" s="19">
        <v>600000</v>
      </c>
    </row>
    <row r="88" spans="2:8" x14ac:dyDescent="0.25">
      <c r="D88" t="s">
        <v>281</v>
      </c>
      <c r="H88" s="19">
        <v>600000</v>
      </c>
    </row>
    <row r="89" spans="2:8" x14ac:dyDescent="0.25">
      <c r="C89" t="s">
        <v>327</v>
      </c>
      <c r="H89" s="19">
        <v>600000</v>
      </c>
    </row>
    <row r="90" spans="2:8" x14ac:dyDescent="0.25">
      <c r="B90" t="s">
        <v>282</v>
      </c>
      <c r="H90" s="19">
        <v>600000</v>
      </c>
    </row>
    <row r="91" spans="2:8" x14ac:dyDescent="0.25">
      <c r="B91">
        <v>1085254570</v>
      </c>
      <c r="C91" t="s">
        <v>210</v>
      </c>
      <c r="D91" t="s">
        <v>211</v>
      </c>
      <c r="E91">
        <v>169</v>
      </c>
      <c r="F91">
        <v>16952</v>
      </c>
      <c r="G91">
        <v>16952001</v>
      </c>
      <c r="H91" s="19">
        <v>9000000</v>
      </c>
    </row>
    <row r="92" spans="2:8" x14ac:dyDescent="0.25">
      <c r="F92" t="s">
        <v>251</v>
      </c>
      <c r="H92" s="19">
        <v>9000000</v>
      </c>
    </row>
    <row r="93" spans="2:8" x14ac:dyDescent="0.25">
      <c r="E93" t="s">
        <v>252</v>
      </c>
      <c r="H93" s="19">
        <v>9000000</v>
      </c>
    </row>
    <row r="94" spans="2:8" x14ac:dyDescent="0.25">
      <c r="D94" t="s">
        <v>283</v>
      </c>
      <c r="H94" s="19">
        <v>9000000</v>
      </c>
    </row>
    <row r="95" spans="2:8" x14ac:dyDescent="0.25">
      <c r="C95" t="s">
        <v>329</v>
      </c>
      <c r="H95" s="19">
        <v>9000000</v>
      </c>
    </row>
    <row r="96" spans="2:8" x14ac:dyDescent="0.25">
      <c r="B96" t="s">
        <v>284</v>
      </c>
      <c r="H96" s="19">
        <v>9000000</v>
      </c>
    </row>
    <row r="97" spans="1:8" x14ac:dyDescent="0.25">
      <c r="B97">
        <v>1113634646</v>
      </c>
      <c r="C97" t="s">
        <v>212</v>
      </c>
      <c r="D97" t="s">
        <v>214</v>
      </c>
      <c r="E97">
        <v>169</v>
      </c>
      <c r="F97">
        <v>16976</v>
      </c>
      <c r="G97">
        <v>16976001</v>
      </c>
      <c r="H97" s="19">
        <v>9000000</v>
      </c>
    </row>
    <row r="98" spans="1:8" x14ac:dyDescent="0.25">
      <c r="F98" t="s">
        <v>257</v>
      </c>
      <c r="H98" s="19">
        <v>9000000</v>
      </c>
    </row>
    <row r="99" spans="1:8" x14ac:dyDescent="0.25">
      <c r="E99" t="s">
        <v>252</v>
      </c>
      <c r="H99" s="19">
        <v>9000000</v>
      </c>
    </row>
    <row r="100" spans="1:8" x14ac:dyDescent="0.25">
      <c r="D100" t="s">
        <v>285</v>
      </c>
      <c r="H100" s="19">
        <v>9000000</v>
      </c>
    </row>
    <row r="101" spans="1:8" x14ac:dyDescent="0.25">
      <c r="C101" t="s">
        <v>325</v>
      </c>
      <c r="H101" s="19">
        <v>9000000</v>
      </c>
    </row>
    <row r="102" spans="1:8" x14ac:dyDescent="0.25">
      <c r="B102" t="s">
        <v>286</v>
      </c>
      <c r="H102" s="19">
        <v>9000000</v>
      </c>
    </row>
    <row r="103" spans="1:8" x14ac:dyDescent="0.25">
      <c r="A103" t="s">
        <v>287</v>
      </c>
      <c r="H103" s="19">
        <v>108152865</v>
      </c>
    </row>
    <row r="104" spans="1:8" x14ac:dyDescent="0.25">
      <c r="A104">
        <v>16500501</v>
      </c>
      <c r="B104">
        <v>800226175</v>
      </c>
      <c r="C104" t="s">
        <v>170</v>
      </c>
      <c r="D104" t="s">
        <v>227</v>
      </c>
      <c r="E104">
        <v>169</v>
      </c>
      <c r="F104">
        <v>16911</v>
      </c>
      <c r="G104">
        <v>16911001</v>
      </c>
      <c r="H104" s="19">
        <v>4525097</v>
      </c>
    </row>
    <row r="105" spans="1:8" x14ac:dyDescent="0.25">
      <c r="F105" t="s">
        <v>288</v>
      </c>
      <c r="H105" s="19">
        <v>4525097</v>
      </c>
    </row>
    <row r="106" spans="1:8" x14ac:dyDescent="0.25">
      <c r="E106" t="s">
        <v>252</v>
      </c>
      <c r="H106" s="19">
        <v>4525097</v>
      </c>
    </row>
    <row r="107" spans="1:8" x14ac:dyDescent="0.25">
      <c r="D107" t="s">
        <v>289</v>
      </c>
      <c r="H107" s="19">
        <v>4525097</v>
      </c>
    </row>
    <row r="108" spans="1:8" x14ac:dyDescent="0.25">
      <c r="C108" t="s">
        <v>332</v>
      </c>
      <c r="H108" s="19">
        <v>4525097</v>
      </c>
    </row>
    <row r="109" spans="1:8" x14ac:dyDescent="0.25">
      <c r="B109" t="s">
        <v>290</v>
      </c>
      <c r="H109" s="19">
        <v>4525097</v>
      </c>
    </row>
    <row r="110" spans="1:8" x14ac:dyDescent="0.25">
      <c r="B110">
        <v>800251440</v>
      </c>
      <c r="C110" t="s">
        <v>172</v>
      </c>
      <c r="D110" t="s">
        <v>228</v>
      </c>
      <c r="E110">
        <v>169</v>
      </c>
      <c r="F110">
        <v>16911</v>
      </c>
      <c r="G110">
        <v>16911001</v>
      </c>
      <c r="H110" s="19">
        <v>2840573</v>
      </c>
    </row>
    <row r="111" spans="1:8" x14ac:dyDescent="0.25">
      <c r="F111" t="s">
        <v>288</v>
      </c>
      <c r="H111" s="19">
        <v>2840573</v>
      </c>
    </row>
    <row r="112" spans="1:8" x14ac:dyDescent="0.25">
      <c r="E112" t="s">
        <v>252</v>
      </c>
      <c r="H112" s="19">
        <v>2840573</v>
      </c>
    </row>
    <row r="113" spans="1:8" x14ac:dyDescent="0.25">
      <c r="D113" t="s">
        <v>291</v>
      </c>
      <c r="H113" s="19">
        <v>2840573</v>
      </c>
    </row>
    <row r="114" spans="1:8" x14ac:dyDescent="0.25">
      <c r="C114" t="s">
        <v>333</v>
      </c>
      <c r="H114" s="19">
        <v>2840573</v>
      </c>
    </row>
    <row r="115" spans="1:8" x14ac:dyDescent="0.25">
      <c r="B115" t="s">
        <v>292</v>
      </c>
      <c r="H115" s="19">
        <v>2840573</v>
      </c>
    </row>
    <row r="116" spans="1:8" x14ac:dyDescent="0.25">
      <c r="B116">
        <v>900156264</v>
      </c>
      <c r="C116" t="s">
        <v>229</v>
      </c>
      <c r="D116" t="s">
        <v>230</v>
      </c>
      <c r="E116">
        <v>169</v>
      </c>
      <c r="F116">
        <v>16911</v>
      </c>
      <c r="G116">
        <v>16911001</v>
      </c>
      <c r="H116" s="19">
        <v>1088527</v>
      </c>
    </row>
    <row r="117" spans="1:8" x14ac:dyDescent="0.25">
      <c r="F117" t="s">
        <v>288</v>
      </c>
      <c r="H117" s="19">
        <v>1088527</v>
      </c>
    </row>
    <row r="118" spans="1:8" x14ac:dyDescent="0.25">
      <c r="E118" t="s">
        <v>252</v>
      </c>
      <c r="H118" s="19">
        <v>1088527</v>
      </c>
    </row>
    <row r="119" spans="1:8" x14ac:dyDescent="0.25">
      <c r="D119" t="s">
        <v>293</v>
      </c>
      <c r="H119" s="19">
        <v>1088527</v>
      </c>
    </row>
    <row r="120" spans="1:8" x14ac:dyDescent="0.25">
      <c r="C120" t="s">
        <v>334</v>
      </c>
      <c r="H120" s="19">
        <v>1088527</v>
      </c>
    </row>
    <row r="121" spans="1:8" x14ac:dyDescent="0.25">
      <c r="B121" t="s">
        <v>294</v>
      </c>
      <c r="H121" s="19">
        <v>1088527</v>
      </c>
    </row>
    <row r="122" spans="1:8" x14ac:dyDescent="0.25">
      <c r="B122">
        <v>901021565</v>
      </c>
      <c r="C122" t="s">
        <v>203</v>
      </c>
      <c r="D122" t="s">
        <v>28</v>
      </c>
      <c r="E122">
        <v>169</v>
      </c>
      <c r="F122">
        <v>16952</v>
      </c>
      <c r="G122">
        <v>16952001</v>
      </c>
      <c r="H122" s="19">
        <v>11740771</v>
      </c>
    </row>
    <row r="123" spans="1:8" x14ac:dyDescent="0.25">
      <c r="F123" t="s">
        <v>251</v>
      </c>
      <c r="H123" s="19">
        <v>11740771</v>
      </c>
    </row>
    <row r="124" spans="1:8" x14ac:dyDescent="0.25">
      <c r="E124" t="s">
        <v>252</v>
      </c>
      <c r="H124" s="19">
        <v>11740771</v>
      </c>
    </row>
    <row r="125" spans="1:8" x14ac:dyDescent="0.25">
      <c r="D125" t="s">
        <v>260</v>
      </c>
      <c r="H125" s="19">
        <v>11740771</v>
      </c>
    </row>
    <row r="126" spans="1:8" x14ac:dyDescent="0.25">
      <c r="C126" t="s">
        <v>319</v>
      </c>
      <c r="H126" s="19">
        <v>11740771</v>
      </c>
    </row>
    <row r="127" spans="1:8" x14ac:dyDescent="0.25">
      <c r="B127" t="s">
        <v>264</v>
      </c>
      <c r="H127" s="19">
        <v>11740771</v>
      </c>
    </row>
    <row r="128" spans="1:8" x14ac:dyDescent="0.25">
      <c r="A128" t="s">
        <v>295</v>
      </c>
      <c r="H128" s="19">
        <v>20194968</v>
      </c>
    </row>
    <row r="129" spans="1:8" x14ac:dyDescent="0.25">
      <c r="A129">
        <v>16551001</v>
      </c>
      <c r="B129">
        <v>66981872</v>
      </c>
      <c r="C129" t="s">
        <v>233</v>
      </c>
      <c r="D129" t="s">
        <v>234</v>
      </c>
      <c r="E129">
        <v>169</v>
      </c>
      <c r="F129">
        <v>16976</v>
      </c>
      <c r="G129">
        <v>16976001</v>
      </c>
      <c r="H129" s="19">
        <v>1853738</v>
      </c>
    </row>
    <row r="130" spans="1:8" x14ac:dyDescent="0.25">
      <c r="F130" t="s">
        <v>257</v>
      </c>
      <c r="H130" s="19">
        <v>1853738</v>
      </c>
    </row>
    <row r="131" spans="1:8" x14ac:dyDescent="0.25">
      <c r="E131" t="s">
        <v>252</v>
      </c>
      <c r="H131" s="19">
        <v>1853738</v>
      </c>
    </row>
    <row r="132" spans="1:8" x14ac:dyDescent="0.25">
      <c r="D132" t="s">
        <v>296</v>
      </c>
      <c r="H132" s="19">
        <v>1853738</v>
      </c>
    </row>
    <row r="133" spans="1:8" x14ac:dyDescent="0.25">
      <c r="C133" t="s">
        <v>337</v>
      </c>
      <c r="H133" s="19">
        <v>1853738</v>
      </c>
    </row>
    <row r="134" spans="1:8" x14ac:dyDescent="0.25">
      <c r="B134" t="s">
        <v>297</v>
      </c>
      <c r="H134" s="19">
        <v>1853738</v>
      </c>
    </row>
    <row r="135" spans="1:8" x14ac:dyDescent="0.25">
      <c r="B135">
        <v>98388779</v>
      </c>
      <c r="C135" t="s">
        <v>235</v>
      </c>
      <c r="D135" t="s">
        <v>236</v>
      </c>
      <c r="E135">
        <v>169</v>
      </c>
      <c r="F135">
        <v>16952</v>
      </c>
      <c r="G135">
        <v>16952001</v>
      </c>
      <c r="H135" s="19">
        <v>2227257</v>
      </c>
    </row>
    <row r="136" spans="1:8" x14ac:dyDescent="0.25">
      <c r="F136" t="s">
        <v>251</v>
      </c>
      <c r="H136" s="19">
        <v>2227257</v>
      </c>
    </row>
    <row r="137" spans="1:8" x14ac:dyDescent="0.25">
      <c r="E137" t="s">
        <v>252</v>
      </c>
      <c r="H137" s="19">
        <v>2227257</v>
      </c>
    </row>
    <row r="138" spans="1:8" x14ac:dyDescent="0.25">
      <c r="D138" t="s">
        <v>298</v>
      </c>
      <c r="H138" s="19">
        <v>2227257</v>
      </c>
    </row>
    <row r="139" spans="1:8" x14ac:dyDescent="0.25">
      <c r="C139" t="s">
        <v>336</v>
      </c>
      <c r="H139" s="19">
        <v>2227257</v>
      </c>
    </row>
    <row r="140" spans="1:8" x14ac:dyDescent="0.25">
      <c r="B140" t="s">
        <v>299</v>
      </c>
      <c r="H140" s="19">
        <v>2227257</v>
      </c>
    </row>
    <row r="141" spans="1:8" x14ac:dyDescent="0.25">
      <c r="B141">
        <v>1085288640</v>
      </c>
      <c r="C141" t="s">
        <v>231</v>
      </c>
      <c r="D141" t="s">
        <v>232</v>
      </c>
      <c r="E141">
        <v>169</v>
      </c>
      <c r="F141">
        <v>16952</v>
      </c>
      <c r="G141">
        <v>16952001</v>
      </c>
      <c r="H141" s="19">
        <v>560000</v>
      </c>
    </row>
    <row r="142" spans="1:8" x14ac:dyDescent="0.25">
      <c r="F142" t="s">
        <v>251</v>
      </c>
      <c r="H142" s="19">
        <v>560000</v>
      </c>
    </row>
    <row r="143" spans="1:8" x14ac:dyDescent="0.25">
      <c r="E143" t="s">
        <v>252</v>
      </c>
      <c r="H143" s="19">
        <v>560000</v>
      </c>
    </row>
    <row r="144" spans="1:8" x14ac:dyDescent="0.25">
      <c r="D144" t="s">
        <v>300</v>
      </c>
      <c r="H144" s="19">
        <v>560000</v>
      </c>
    </row>
    <row r="145" spans="1:8" x14ac:dyDescent="0.25">
      <c r="C145" t="s">
        <v>335</v>
      </c>
      <c r="H145" s="19">
        <v>560000</v>
      </c>
    </row>
    <row r="146" spans="1:8" x14ac:dyDescent="0.25">
      <c r="B146" t="s">
        <v>301</v>
      </c>
      <c r="H146" s="19">
        <v>560000</v>
      </c>
    </row>
    <row r="147" spans="1:8" x14ac:dyDescent="0.25">
      <c r="A147" t="s">
        <v>302</v>
      </c>
      <c r="H147" s="19">
        <v>4640995</v>
      </c>
    </row>
    <row r="148" spans="1:8" x14ac:dyDescent="0.25">
      <c r="A148">
        <v>16602002</v>
      </c>
      <c r="B148">
        <v>12979678</v>
      </c>
      <c r="C148" t="s">
        <v>215</v>
      </c>
      <c r="D148" t="s">
        <v>216</v>
      </c>
      <c r="E148">
        <v>169</v>
      </c>
      <c r="F148">
        <v>16952</v>
      </c>
      <c r="G148">
        <v>16952001</v>
      </c>
      <c r="H148" s="19">
        <v>2350000</v>
      </c>
    </row>
    <row r="149" spans="1:8" x14ac:dyDescent="0.25">
      <c r="F149" t="s">
        <v>251</v>
      </c>
      <c r="H149" s="19">
        <v>2350000</v>
      </c>
    </row>
    <row r="150" spans="1:8" x14ac:dyDescent="0.25">
      <c r="E150" t="s">
        <v>252</v>
      </c>
      <c r="H150" s="19">
        <v>2350000</v>
      </c>
    </row>
    <row r="151" spans="1:8" x14ac:dyDescent="0.25">
      <c r="D151" t="s">
        <v>269</v>
      </c>
      <c r="H151" s="19">
        <v>2350000</v>
      </c>
    </row>
    <row r="152" spans="1:8" x14ac:dyDescent="0.25">
      <c r="C152" t="s">
        <v>323</v>
      </c>
      <c r="H152" s="19">
        <v>2350000</v>
      </c>
    </row>
    <row r="153" spans="1:8" x14ac:dyDescent="0.25">
      <c r="B153" t="s">
        <v>270</v>
      </c>
      <c r="H153" s="19">
        <v>2350000</v>
      </c>
    </row>
    <row r="154" spans="1:8" x14ac:dyDescent="0.25">
      <c r="B154">
        <v>814006009</v>
      </c>
      <c r="C154" t="s">
        <v>192</v>
      </c>
      <c r="D154" t="s">
        <v>193</v>
      </c>
      <c r="E154">
        <v>169</v>
      </c>
      <c r="F154">
        <v>16952</v>
      </c>
      <c r="G154">
        <v>16952001</v>
      </c>
      <c r="H154" s="19">
        <v>135902</v>
      </c>
    </row>
    <row r="155" spans="1:8" x14ac:dyDescent="0.25">
      <c r="F155" t="s">
        <v>251</v>
      </c>
      <c r="H155" s="19">
        <v>135902</v>
      </c>
    </row>
    <row r="156" spans="1:8" x14ac:dyDescent="0.25">
      <c r="E156" t="s">
        <v>252</v>
      </c>
      <c r="H156" s="19">
        <v>135902</v>
      </c>
    </row>
    <row r="157" spans="1:8" x14ac:dyDescent="0.25">
      <c r="D157" t="s">
        <v>253</v>
      </c>
      <c r="H157" s="19">
        <v>135902</v>
      </c>
    </row>
    <row r="158" spans="1:8" x14ac:dyDescent="0.25">
      <c r="C158" t="s">
        <v>321</v>
      </c>
      <c r="H158" s="19">
        <v>135902</v>
      </c>
    </row>
    <row r="159" spans="1:8" x14ac:dyDescent="0.25">
      <c r="B159" t="s">
        <v>254</v>
      </c>
      <c r="H159" s="19">
        <v>135902</v>
      </c>
    </row>
    <row r="160" spans="1:8" x14ac:dyDescent="0.25">
      <c r="B160">
        <v>860034313</v>
      </c>
      <c r="C160" t="s">
        <v>119</v>
      </c>
      <c r="D160" t="s">
        <v>237</v>
      </c>
      <c r="E160">
        <v>169</v>
      </c>
      <c r="F160">
        <v>16911</v>
      </c>
      <c r="G160">
        <v>16911001</v>
      </c>
      <c r="H160" s="19">
        <v>4635766.82</v>
      </c>
    </row>
    <row r="161" spans="2:8" x14ac:dyDescent="0.25">
      <c r="F161" t="s">
        <v>288</v>
      </c>
      <c r="H161" s="19">
        <v>4635766.82</v>
      </c>
    </row>
    <row r="162" spans="2:8" x14ac:dyDescent="0.25">
      <c r="E162" t="s">
        <v>252</v>
      </c>
      <c r="H162" s="19">
        <v>4635766.82</v>
      </c>
    </row>
    <row r="163" spans="2:8" x14ac:dyDescent="0.25">
      <c r="D163" t="s">
        <v>303</v>
      </c>
      <c r="H163" s="19">
        <v>4635766.82</v>
      </c>
    </row>
    <row r="164" spans="2:8" x14ac:dyDescent="0.25">
      <c r="C164" t="s">
        <v>338</v>
      </c>
      <c r="H164" s="19">
        <v>4635766.82</v>
      </c>
    </row>
    <row r="165" spans="2:8" x14ac:dyDescent="0.25">
      <c r="B165" t="s">
        <v>304</v>
      </c>
      <c r="H165" s="19">
        <v>4635766.82</v>
      </c>
    </row>
    <row r="166" spans="2:8" x14ac:dyDescent="0.25">
      <c r="B166">
        <v>890980727</v>
      </c>
      <c r="C166" t="s">
        <v>238</v>
      </c>
      <c r="D166" t="s">
        <v>239</v>
      </c>
      <c r="E166">
        <v>169</v>
      </c>
      <c r="F166">
        <v>16905</v>
      </c>
      <c r="G166">
        <v>16905308</v>
      </c>
      <c r="H166" s="19">
        <v>1912724</v>
      </c>
    </row>
    <row r="167" spans="2:8" x14ac:dyDescent="0.25">
      <c r="F167" t="s">
        <v>305</v>
      </c>
      <c r="H167" s="19">
        <v>1912724</v>
      </c>
    </row>
    <row r="168" spans="2:8" x14ac:dyDescent="0.25">
      <c r="E168" t="s">
        <v>252</v>
      </c>
      <c r="H168" s="19">
        <v>1912724</v>
      </c>
    </row>
    <row r="169" spans="2:8" x14ac:dyDescent="0.25">
      <c r="D169" t="s">
        <v>306</v>
      </c>
      <c r="H169" s="19">
        <v>1912724</v>
      </c>
    </row>
    <row r="170" spans="2:8" x14ac:dyDescent="0.25">
      <c r="C170" t="s">
        <v>339</v>
      </c>
      <c r="H170" s="19">
        <v>1912724</v>
      </c>
    </row>
    <row r="171" spans="2:8" x14ac:dyDescent="0.25">
      <c r="B171" t="s">
        <v>307</v>
      </c>
      <c r="H171" s="19">
        <v>1912724</v>
      </c>
    </row>
    <row r="172" spans="2:8" x14ac:dyDescent="0.25">
      <c r="B172">
        <v>900006037</v>
      </c>
      <c r="C172" t="s">
        <v>173</v>
      </c>
      <c r="D172" t="s">
        <v>240</v>
      </c>
      <c r="E172">
        <v>169</v>
      </c>
      <c r="F172">
        <v>16968</v>
      </c>
      <c r="G172">
        <v>16968001</v>
      </c>
      <c r="H172" s="19">
        <v>40755712</v>
      </c>
    </row>
    <row r="173" spans="2:8" x14ac:dyDescent="0.25">
      <c r="F173" t="s">
        <v>308</v>
      </c>
      <c r="H173" s="19">
        <v>40755712</v>
      </c>
    </row>
    <row r="174" spans="2:8" x14ac:dyDescent="0.25">
      <c r="E174" t="s">
        <v>252</v>
      </c>
      <c r="H174" s="19">
        <v>40755712</v>
      </c>
    </row>
    <row r="175" spans="2:8" x14ac:dyDescent="0.25">
      <c r="D175" t="s">
        <v>309</v>
      </c>
      <c r="H175" s="19">
        <v>40755712</v>
      </c>
    </row>
    <row r="176" spans="2:8" x14ac:dyDescent="0.25">
      <c r="C176" t="s">
        <v>340</v>
      </c>
      <c r="H176" s="19">
        <v>40755712</v>
      </c>
    </row>
    <row r="177" spans="2:8" x14ac:dyDescent="0.25">
      <c r="B177" t="s">
        <v>310</v>
      </c>
      <c r="H177" s="19">
        <v>40755712</v>
      </c>
    </row>
    <row r="178" spans="2:8" x14ac:dyDescent="0.25">
      <c r="B178">
        <v>900057647</v>
      </c>
      <c r="C178" t="s">
        <v>196</v>
      </c>
      <c r="D178" t="s">
        <v>198</v>
      </c>
      <c r="E178">
        <v>169</v>
      </c>
      <c r="F178">
        <v>16976</v>
      </c>
      <c r="G178">
        <v>16976001</v>
      </c>
      <c r="H178" s="19">
        <v>24484307</v>
      </c>
    </row>
    <row r="179" spans="2:8" x14ac:dyDescent="0.25">
      <c r="F179" t="s">
        <v>257</v>
      </c>
      <c r="H179" s="19">
        <v>24484307</v>
      </c>
    </row>
    <row r="180" spans="2:8" x14ac:dyDescent="0.25">
      <c r="E180" t="s">
        <v>252</v>
      </c>
      <c r="H180" s="19">
        <v>24484307</v>
      </c>
    </row>
    <row r="181" spans="2:8" x14ac:dyDescent="0.25">
      <c r="D181" t="s">
        <v>258</v>
      </c>
      <c r="H181" s="19">
        <v>24484307</v>
      </c>
    </row>
    <row r="182" spans="2:8" x14ac:dyDescent="0.25">
      <c r="C182" t="s">
        <v>318</v>
      </c>
      <c r="H182" s="19">
        <v>24484307</v>
      </c>
    </row>
    <row r="183" spans="2:8" x14ac:dyDescent="0.25">
      <c r="B183" t="s">
        <v>259</v>
      </c>
      <c r="H183" s="19">
        <v>24484307</v>
      </c>
    </row>
    <row r="184" spans="2:8" x14ac:dyDescent="0.25">
      <c r="B184">
        <v>900062612</v>
      </c>
      <c r="C184" t="s">
        <v>199</v>
      </c>
      <c r="D184" t="s">
        <v>28</v>
      </c>
      <c r="E184">
        <v>169</v>
      </c>
      <c r="F184">
        <v>16952</v>
      </c>
      <c r="G184">
        <v>16952001</v>
      </c>
      <c r="H184" s="19">
        <v>4350098</v>
      </c>
    </row>
    <row r="185" spans="2:8" x14ac:dyDescent="0.25">
      <c r="F185" t="s">
        <v>251</v>
      </c>
      <c r="H185" s="19">
        <v>4350098</v>
      </c>
    </row>
    <row r="186" spans="2:8" x14ac:dyDescent="0.25">
      <c r="E186" t="s">
        <v>252</v>
      </c>
      <c r="H186" s="19">
        <v>4350098</v>
      </c>
    </row>
    <row r="187" spans="2:8" x14ac:dyDescent="0.25">
      <c r="D187" t="s">
        <v>260</v>
      </c>
      <c r="H187" s="19">
        <v>4350098</v>
      </c>
    </row>
    <row r="188" spans="2:8" x14ac:dyDescent="0.25">
      <c r="C188" t="s">
        <v>317</v>
      </c>
      <c r="H188" s="19">
        <v>4350098</v>
      </c>
    </row>
    <row r="189" spans="2:8" x14ac:dyDescent="0.25">
      <c r="B189" t="s">
        <v>261</v>
      </c>
      <c r="H189" s="19">
        <v>4350098</v>
      </c>
    </row>
    <row r="190" spans="2:8" x14ac:dyDescent="0.25">
      <c r="B190">
        <v>900959051</v>
      </c>
      <c r="C190" t="s">
        <v>241</v>
      </c>
      <c r="D190" t="s">
        <v>242</v>
      </c>
      <c r="E190">
        <v>169</v>
      </c>
      <c r="F190">
        <v>16911</v>
      </c>
      <c r="G190">
        <v>16911001</v>
      </c>
      <c r="H190" s="19">
        <v>23447101</v>
      </c>
    </row>
    <row r="191" spans="2:8" x14ac:dyDescent="0.25">
      <c r="F191" t="s">
        <v>288</v>
      </c>
      <c r="H191" s="19">
        <v>23447101</v>
      </c>
    </row>
    <row r="192" spans="2:8" x14ac:dyDescent="0.25">
      <c r="E192" t="s">
        <v>252</v>
      </c>
      <c r="H192" s="19">
        <v>23447101</v>
      </c>
    </row>
    <row r="193" spans="1:8" x14ac:dyDescent="0.25">
      <c r="D193" t="s">
        <v>311</v>
      </c>
      <c r="H193" s="19">
        <v>23447101</v>
      </c>
    </row>
    <row r="194" spans="1:8" x14ac:dyDescent="0.25">
      <c r="C194" t="s">
        <v>341</v>
      </c>
      <c r="H194" s="19">
        <v>23447101</v>
      </c>
    </row>
    <row r="195" spans="1:8" x14ac:dyDescent="0.25">
      <c r="B195" t="s">
        <v>312</v>
      </c>
      <c r="H195" s="19">
        <v>23447101</v>
      </c>
    </row>
    <row r="196" spans="1:8" x14ac:dyDescent="0.25">
      <c r="B196">
        <v>900971006</v>
      </c>
      <c r="C196" t="s">
        <v>243</v>
      </c>
      <c r="D196" t="s">
        <v>244</v>
      </c>
      <c r="E196">
        <v>169</v>
      </c>
      <c r="F196">
        <v>16911</v>
      </c>
      <c r="G196">
        <v>16911001</v>
      </c>
      <c r="H196" s="19">
        <v>3097387</v>
      </c>
    </row>
    <row r="197" spans="1:8" x14ac:dyDescent="0.25">
      <c r="F197" t="s">
        <v>288</v>
      </c>
      <c r="H197" s="19">
        <v>3097387</v>
      </c>
    </row>
    <row r="198" spans="1:8" x14ac:dyDescent="0.25">
      <c r="E198" t="s">
        <v>252</v>
      </c>
      <c r="H198" s="19">
        <v>3097387</v>
      </c>
    </row>
    <row r="199" spans="1:8" x14ac:dyDescent="0.25">
      <c r="D199" t="s">
        <v>313</v>
      </c>
      <c r="H199" s="19">
        <v>3097387</v>
      </c>
    </row>
    <row r="200" spans="1:8" x14ac:dyDescent="0.25">
      <c r="C200" t="s">
        <v>342</v>
      </c>
      <c r="H200" s="19">
        <v>3097387</v>
      </c>
    </row>
    <row r="201" spans="1:8" x14ac:dyDescent="0.25">
      <c r="B201" t="s">
        <v>314</v>
      </c>
      <c r="H201" s="19">
        <v>3097387</v>
      </c>
    </row>
    <row r="202" spans="1:8" x14ac:dyDescent="0.25">
      <c r="B202">
        <v>901021565</v>
      </c>
      <c r="C202" t="s">
        <v>203</v>
      </c>
      <c r="D202" t="s">
        <v>28</v>
      </c>
      <c r="E202">
        <v>169</v>
      </c>
      <c r="F202">
        <v>16952</v>
      </c>
      <c r="G202">
        <v>16952001</v>
      </c>
      <c r="H202" s="19">
        <v>17647839.02</v>
      </c>
    </row>
    <row r="203" spans="1:8" x14ac:dyDescent="0.25">
      <c r="F203" t="s">
        <v>251</v>
      </c>
      <c r="H203" s="19">
        <v>17647839.02</v>
      </c>
    </row>
    <row r="204" spans="1:8" x14ac:dyDescent="0.25">
      <c r="E204" t="s">
        <v>252</v>
      </c>
      <c r="H204" s="19">
        <v>17647839.02</v>
      </c>
    </row>
    <row r="205" spans="1:8" x14ac:dyDescent="0.25">
      <c r="D205" t="s">
        <v>260</v>
      </c>
      <c r="H205" s="19">
        <v>17647839.02</v>
      </c>
    </row>
    <row r="206" spans="1:8" x14ac:dyDescent="0.25">
      <c r="C206" t="s">
        <v>319</v>
      </c>
      <c r="H206" s="19">
        <v>17647839.02</v>
      </c>
    </row>
    <row r="207" spans="1:8" x14ac:dyDescent="0.25">
      <c r="B207" t="s">
        <v>264</v>
      </c>
      <c r="H207" s="19">
        <v>17647839.02</v>
      </c>
    </row>
    <row r="208" spans="1:8" x14ac:dyDescent="0.25">
      <c r="A208" t="s">
        <v>315</v>
      </c>
      <c r="H208" s="19">
        <v>122816836.83999999</v>
      </c>
    </row>
    <row r="209" spans="1:8" x14ac:dyDescent="0.25">
      <c r="A209" t="s">
        <v>248</v>
      </c>
      <c r="H209" s="19">
        <v>1522826717.6399999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J2" sqref="J2:J34"/>
    </sheetView>
  </sheetViews>
  <sheetFormatPr baseColWidth="10" defaultRowHeight="15" x14ac:dyDescent="0.25"/>
  <cols>
    <col min="4" max="4" width="45.28515625" bestFit="1" customWidth="1"/>
    <col min="6" max="6" width="32.5703125" bestFit="1" customWidth="1"/>
    <col min="10" max="10" width="13.7109375" bestFit="1" customWidth="1"/>
  </cols>
  <sheetData>
    <row r="1" spans="1:11" x14ac:dyDescent="0.25">
      <c r="A1" s="20" t="s">
        <v>182</v>
      </c>
      <c r="B1" s="20" t="s">
        <v>183</v>
      </c>
      <c r="C1" s="20" t="s">
        <v>184</v>
      </c>
      <c r="D1" s="20" t="s">
        <v>185</v>
      </c>
      <c r="E1" s="20" t="s">
        <v>186</v>
      </c>
      <c r="F1" s="20" t="s">
        <v>187</v>
      </c>
      <c r="G1" s="20" t="s">
        <v>188</v>
      </c>
      <c r="H1" s="20" t="s">
        <v>189</v>
      </c>
      <c r="I1" s="20" t="s">
        <v>190</v>
      </c>
      <c r="J1" s="20" t="s">
        <v>191</v>
      </c>
      <c r="K1" s="20"/>
    </row>
    <row r="2" spans="1:11" x14ac:dyDescent="0.25">
      <c r="A2" s="21">
        <v>16150501</v>
      </c>
      <c r="B2" s="21">
        <v>814006009</v>
      </c>
      <c r="C2" s="21">
        <v>1</v>
      </c>
      <c r="D2" s="21" t="s">
        <v>192</v>
      </c>
      <c r="E2" s="21"/>
      <c r="F2" s="21" t="s">
        <v>193</v>
      </c>
      <c r="G2" s="21">
        <v>169</v>
      </c>
      <c r="H2" s="21">
        <v>16952</v>
      </c>
      <c r="I2" s="21">
        <v>16952001</v>
      </c>
      <c r="J2" s="22">
        <v>3379840</v>
      </c>
    </row>
    <row r="3" spans="1:11" x14ac:dyDescent="0.25">
      <c r="A3">
        <v>16150501</v>
      </c>
      <c r="B3">
        <v>814006325</v>
      </c>
      <c r="C3">
        <v>1</v>
      </c>
      <c r="D3" t="s">
        <v>116</v>
      </c>
      <c r="E3" t="s">
        <v>194</v>
      </c>
      <c r="F3" t="s">
        <v>195</v>
      </c>
      <c r="G3">
        <v>169</v>
      </c>
      <c r="H3">
        <v>16952</v>
      </c>
      <c r="I3">
        <v>16952001</v>
      </c>
      <c r="J3" s="14">
        <v>3976500</v>
      </c>
    </row>
    <row r="4" spans="1:11" x14ac:dyDescent="0.25">
      <c r="A4">
        <v>16150501</v>
      </c>
      <c r="B4">
        <v>900057647</v>
      </c>
      <c r="C4">
        <v>1</v>
      </c>
      <c r="D4" t="s">
        <v>196</v>
      </c>
      <c r="E4" t="s">
        <v>197</v>
      </c>
      <c r="F4" t="s">
        <v>198</v>
      </c>
      <c r="G4">
        <v>169</v>
      </c>
      <c r="H4">
        <v>16976</v>
      </c>
      <c r="I4">
        <v>16976001</v>
      </c>
      <c r="J4" s="14">
        <v>57219718</v>
      </c>
    </row>
    <row r="5" spans="1:11" x14ac:dyDescent="0.25">
      <c r="A5">
        <v>16150501</v>
      </c>
      <c r="B5">
        <v>900062612</v>
      </c>
      <c r="C5">
        <v>1</v>
      </c>
      <c r="D5" t="s">
        <v>199</v>
      </c>
      <c r="E5" t="s">
        <v>200</v>
      </c>
      <c r="F5" t="s">
        <v>28</v>
      </c>
      <c r="G5">
        <v>169</v>
      </c>
      <c r="H5">
        <v>16952</v>
      </c>
      <c r="I5">
        <v>16952001</v>
      </c>
      <c r="J5" s="14">
        <v>149255912</v>
      </c>
    </row>
    <row r="6" spans="1:11" x14ac:dyDescent="0.25">
      <c r="A6">
        <v>16150501</v>
      </c>
      <c r="B6">
        <v>900077584</v>
      </c>
      <c r="C6">
        <v>1</v>
      </c>
      <c r="D6" t="s">
        <v>201</v>
      </c>
      <c r="F6" t="s">
        <v>202</v>
      </c>
      <c r="G6">
        <v>169</v>
      </c>
      <c r="H6">
        <v>16952</v>
      </c>
      <c r="I6">
        <v>16952001</v>
      </c>
      <c r="J6" s="14">
        <v>292154792.80000001</v>
      </c>
    </row>
    <row r="7" spans="1:11" x14ac:dyDescent="0.25">
      <c r="A7">
        <v>16150501</v>
      </c>
      <c r="B7">
        <v>901021565</v>
      </c>
      <c r="C7">
        <v>1</v>
      </c>
      <c r="D7" t="s">
        <v>203</v>
      </c>
      <c r="E7" t="s">
        <v>200</v>
      </c>
      <c r="F7" t="s">
        <v>28</v>
      </c>
      <c r="G7">
        <v>169</v>
      </c>
      <c r="H7">
        <v>16952</v>
      </c>
      <c r="I7">
        <v>16952001</v>
      </c>
      <c r="J7" s="14">
        <v>758917190</v>
      </c>
    </row>
    <row r="8" spans="1:11" x14ac:dyDescent="0.25">
      <c r="A8">
        <v>16301501</v>
      </c>
      <c r="B8">
        <v>900562602</v>
      </c>
      <c r="C8">
        <v>1</v>
      </c>
      <c r="D8" t="s">
        <v>204</v>
      </c>
      <c r="E8" t="s">
        <v>205</v>
      </c>
      <c r="F8" t="s">
        <v>206</v>
      </c>
      <c r="G8">
        <v>169</v>
      </c>
      <c r="H8">
        <v>16952</v>
      </c>
      <c r="I8">
        <v>16952001</v>
      </c>
      <c r="J8" s="14">
        <v>2117100</v>
      </c>
    </row>
    <row r="9" spans="1:11" x14ac:dyDescent="0.25">
      <c r="A9">
        <v>16309501</v>
      </c>
      <c r="B9">
        <v>1080690236</v>
      </c>
      <c r="C9">
        <v>1</v>
      </c>
      <c r="D9" t="s">
        <v>207</v>
      </c>
      <c r="E9" t="s">
        <v>208</v>
      </c>
      <c r="F9" t="s">
        <v>209</v>
      </c>
      <c r="G9">
        <v>169</v>
      </c>
      <c r="H9">
        <v>16952</v>
      </c>
      <c r="I9">
        <v>16952001</v>
      </c>
      <c r="J9" s="14">
        <v>600000</v>
      </c>
    </row>
    <row r="10" spans="1:11" x14ac:dyDescent="0.25">
      <c r="A10">
        <v>16309501</v>
      </c>
      <c r="B10">
        <v>1085254570</v>
      </c>
      <c r="C10">
        <v>1</v>
      </c>
      <c r="D10" t="s">
        <v>210</v>
      </c>
      <c r="F10" t="s">
        <v>211</v>
      </c>
      <c r="G10">
        <v>169</v>
      </c>
      <c r="H10">
        <v>16952</v>
      </c>
      <c r="I10">
        <v>16952001</v>
      </c>
      <c r="J10" s="14">
        <v>9000000</v>
      </c>
    </row>
    <row r="11" spans="1:11" x14ac:dyDescent="0.25">
      <c r="A11">
        <v>16309501</v>
      </c>
      <c r="B11">
        <v>1113634646</v>
      </c>
      <c r="C11">
        <v>1</v>
      </c>
      <c r="D11" t="s">
        <v>212</v>
      </c>
      <c r="E11" t="s">
        <v>213</v>
      </c>
      <c r="F11" t="s">
        <v>214</v>
      </c>
      <c r="G11">
        <v>169</v>
      </c>
      <c r="H11">
        <v>16976</v>
      </c>
      <c r="I11">
        <v>16976001</v>
      </c>
      <c r="J11" s="14">
        <v>9000000</v>
      </c>
    </row>
    <row r="12" spans="1:11" x14ac:dyDescent="0.25">
      <c r="A12">
        <v>16309501</v>
      </c>
      <c r="B12">
        <v>12979678</v>
      </c>
      <c r="C12">
        <v>1</v>
      </c>
      <c r="D12" t="s">
        <v>215</v>
      </c>
      <c r="F12" t="s">
        <v>216</v>
      </c>
      <c r="G12">
        <v>169</v>
      </c>
      <c r="H12">
        <v>16952</v>
      </c>
      <c r="I12">
        <v>16952001</v>
      </c>
      <c r="J12" s="14">
        <v>8730000</v>
      </c>
    </row>
    <row r="13" spans="1:11" x14ac:dyDescent="0.25">
      <c r="A13">
        <v>16309501</v>
      </c>
      <c r="B13">
        <v>16738238</v>
      </c>
      <c r="C13">
        <v>1</v>
      </c>
      <c r="D13" t="s">
        <v>217</v>
      </c>
      <c r="F13" t="s">
        <v>218</v>
      </c>
      <c r="G13">
        <v>169</v>
      </c>
      <c r="H13">
        <v>16976</v>
      </c>
      <c r="I13">
        <v>16976001</v>
      </c>
      <c r="J13" s="14">
        <v>32000000</v>
      </c>
    </row>
    <row r="14" spans="1:11" x14ac:dyDescent="0.25">
      <c r="A14">
        <v>16309501</v>
      </c>
      <c r="B14">
        <v>59314743</v>
      </c>
      <c r="C14">
        <v>1</v>
      </c>
      <c r="D14" t="s">
        <v>219</v>
      </c>
      <c r="F14" t="s">
        <v>220</v>
      </c>
      <c r="G14">
        <v>169</v>
      </c>
      <c r="H14">
        <v>16952</v>
      </c>
      <c r="I14">
        <v>16952001</v>
      </c>
      <c r="J14" s="14">
        <v>6934722</v>
      </c>
    </row>
    <row r="15" spans="1:11" x14ac:dyDescent="0.25">
      <c r="A15">
        <v>16309501</v>
      </c>
      <c r="B15">
        <v>59678077</v>
      </c>
      <c r="C15">
        <v>1</v>
      </c>
      <c r="D15" t="s">
        <v>221</v>
      </c>
      <c r="F15" t="s">
        <v>222</v>
      </c>
      <c r="G15">
        <v>169</v>
      </c>
      <c r="H15">
        <v>16976</v>
      </c>
      <c r="I15">
        <v>16976001</v>
      </c>
      <c r="J15" s="14">
        <v>32500000</v>
      </c>
    </row>
    <row r="16" spans="1:11" x14ac:dyDescent="0.25">
      <c r="A16">
        <v>16309501</v>
      </c>
      <c r="B16">
        <v>900163149</v>
      </c>
      <c r="C16">
        <v>1</v>
      </c>
      <c r="D16" t="s">
        <v>126</v>
      </c>
      <c r="F16" t="s">
        <v>223</v>
      </c>
      <c r="G16">
        <v>169</v>
      </c>
      <c r="H16">
        <v>16952</v>
      </c>
      <c r="I16">
        <v>16952001</v>
      </c>
      <c r="J16" s="14">
        <v>160650</v>
      </c>
    </row>
    <row r="17" spans="1:10" x14ac:dyDescent="0.25">
      <c r="A17">
        <v>16309501</v>
      </c>
      <c r="B17">
        <v>98388842</v>
      </c>
      <c r="C17">
        <v>1</v>
      </c>
      <c r="D17" t="s">
        <v>224</v>
      </c>
      <c r="E17" t="s">
        <v>225</v>
      </c>
      <c r="F17" t="s">
        <v>226</v>
      </c>
      <c r="G17">
        <v>169</v>
      </c>
      <c r="H17">
        <v>16952</v>
      </c>
      <c r="I17">
        <v>16952001</v>
      </c>
      <c r="J17" s="14">
        <v>9227493</v>
      </c>
    </row>
    <row r="18" spans="1:10" x14ac:dyDescent="0.25">
      <c r="A18">
        <v>16500501</v>
      </c>
      <c r="B18">
        <v>800226175</v>
      </c>
      <c r="C18">
        <v>1</v>
      </c>
      <c r="D18" t="s">
        <v>170</v>
      </c>
      <c r="F18" t="s">
        <v>227</v>
      </c>
      <c r="G18">
        <v>169</v>
      </c>
      <c r="H18">
        <v>16911</v>
      </c>
      <c r="I18">
        <v>16911001</v>
      </c>
      <c r="J18" s="14">
        <v>4525097</v>
      </c>
    </row>
    <row r="19" spans="1:10" x14ac:dyDescent="0.25">
      <c r="A19">
        <v>16500501</v>
      </c>
      <c r="B19">
        <v>800251440</v>
      </c>
      <c r="C19">
        <v>1</v>
      </c>
      <c r="D19" t="s">
        <v>172</v>
      </c>
      <c r="F19" t="s">
        <v>228</v>
      </c>
      <c r="G19">
        <v>169</v>
      </c>
      <c r="H19">
        <v>16911</v>
      </c>
      <c r="I19">
        <v>16911001</v>
      </c>
      <c r="J19" s="14">
        <v>2840573</v>
      </c>
    </row>
    <row r="20" spans="1:10" x14ac:dyDescent="0.25">
      <c r="A20">
        <v>16500501</v>
      </c>
      <c r="B20">
        <v>900156264</v>
      </c>
      <c r="C20">
        <v>1</v>
      </c>
      <c r="D20" t="s">
        <v>229</v>
      </c>
      <c r="F20" t="s">
        <v>230</v>
      </c>
      <c r="G20">
        <v>169</v>
      </c>
      <c r="H20">
        <v>16911</v>
      </c>
      <c r="I20">
        <v>16911001</v>
      </c>
      <c r="J20" s="14">
        <v>1088527</v>
      </c>
    </row>
    <row r="21" spans="1:10" x14ac:dyDescent="0.25">
      <c r="A21">
        <v>16500501</v>
      </c>
      <c r="B21">
        <v>901021565</v>
      </c>
      <c r="C21">
        <v>1</v>
      </c>
      <c r="D21" t="s">
        <v>203</v>
      </c>
      <c r="E21" t="s">
        <v>200</v>
      </c>
      <c r="F21" t="s">
        <v>28</v>
      </c>
      <c r="G21">
        <v>169</v>
      </c>
      <c r="H21">
        <v>16952</v>
      </c>
      <c r="I21">
        <v>16952001</v>
      </c>
      <c r="J21" s="14">
        <v>11740771</v>
      </c>
    </row>
    <row r="22" spans="1:10" x14ac:dyDescent="0.25">
      <c r="A22">
        <v>16551001</v>
      </c>
      <c r="B22">
        <v>1085288640</v>
      </c>
      <c r="C22">
        <v>1</v>
      </c>
      <c r="D22" t="s">
        <v>231</v>
      </c>
      <c r="F22" t="s">
        <v>232</v>
      </c>
      <c r="G22">
        <v>169</v>
      </c>
      <c r="H22">
        <v>16952</v>
      </c>
      <c r="I22">
        <v>16952001</v>
      </c>
      <c r="J22" s="14">
        <v>560000</v>
      </c>
    </row>
    <row r="23" spans="1:10" x14ac:dyDescent="0.25">
      <c r="A23">
        <v>16551001</v>
      </c>
      <c r="B23">
        <v>66981872</v>
      </c>
      <c r="C23">
        <v>1</v>
      </c>
      <c r="D23" t="s">
        <v>233</v>
      </c>
      <c r="F23" t="s">
        <v>234</v>
      </c>
      <c r="G23">
        <v>169</v>
      </c>
      <c r="H23">
        <v>16976</v>
      </c>
      <c r="I23">
        <v>16976001</v>
      </c>
      <c r="J23" s="14">
        <v>1853738</v>
      </c>
    </row>
    <row r="24" spans="1:10" x14ac:dyDescent="0.25">
      <c r="A24">
        <v>16551001</v>
      </c>
      <c r="B24">
        <v>98388779</v>
      </c>
      <c r="C24">
        <v>1</v>
      </c>
      <c r="D24" t="s">
        <v>235</v>
      </c>
      <c r="F24" t="s">
        <v>236</v>
      </c>
      <c r="G24">
        <v>169</v>
      </c>
      <c r="H24">
        <v>16952</v>
      </c>
      <c r="I24">
        <v>16952001</v>
      </c>
      <c r="J24" s="14">
        <v>2227257</v>
      </c>
    </row>
    <row r="25" spans="1:10" x14ac:dyDescent="0.25">
      <c r="A25">
        <v>16602002</v>
      </c>
      <c r="B25">
        <v>12979678</v>
      </c>
      <c r="C25">
        <v>1</v>
      </c>
      <c r="D25" t="s">
        <v>215</v>
      </c>
      <c r="F25" t="s">
        <v>216</v>
      </c>
      <c r="G25">
        <v>169</v>
      </c>
      <c r="H25">
        <v>16952</v>
      </c>
      <c r="I25">
        <v>16952001</v>
      </c>
      <c r="J25" s="14">
        <v>2350000</v>
      </c>
    </row>
    <row r="26" spans="1:10" x14ac:dyDescent="0.25">
      <c r="A26" s="21">
        <v>16602002</v>
      </c>
      <c r="B26" s="21">
        <v>814006009</v>
      </c>
      <c r="C26" s="21">
        <v>1</v>
      </c>
      <c r="D26" s="21" t="s">
        <v>192</v>
      </c>
      <c r="E26" s="21"/>
      <c r="F26" s="21" t="s">
        <v>193</v>
      </c>
      <c r="G26" s="21">
        <v>169</v>
      </c>
      <c r="H26" s="21">
        <v>16952</v>
      </c>
      <c r="I26" s="21">
        <v>16952001</v>
      </c>
      <c r="J26" s="22">
        <v>135902</v>
      </c>
    </row>
    <row r="27" spans="1:10" x14ac:dyDescent="0.25">
      <c r="A27">
        <v>16602002</v>
      </c>
      <c r="B27">
        <v>860034313</v>
      </c>
      <c r="C27">
        <v>1</v>
      </c>
      <c r="D27" t="s">
        <v>119</v>
      </c>
      <c r="E27" t="s">
        <v>205</v>
      </c>
      <c r="F27" t="s">
        <v>237</v>
      </c>
      <c r="G27">
        <v>169</v>
      </c>
      <c r="H27">
        <v>16911</v>
      </c>
      <c r="I27">
        <v>16911001</v>
      </c>
      <c r="J27" s="14">
        <v>4635766.82</v>
      </c>
    </row>
    <row r="28" spans="1:10" x14ac:dyDescent="0.25">
      <c r="A28">
        <v>16602002</v>
      </c>
      <c r="B28">
        <v>890980727</v>
      </c>
      <c r="C28">
        <v>1</v>
      </c>
      <c r="D28" t="s">
        <v>238</v>
      </c>
      <c r="F28" t="s">
        <v>239</v>
      </c>
      <c r="G28">
        <v>169</v>
      </c>
      <c r="H28">
        <v>16905</v>
      </c>
      <c r="I28">
        <v>16905308</v>
      </c>
      <c r="J28" s="14">
        <v>1912724</v>
      </c>
    </row>
    <row r="29" spans="1:10" x14ac:dyDescent="0.25">
      <c r="A29">
        <v>16602002</v>
      </c>
      <c r="B29">
        <v>900006037</v>
      </c>
      <c r="C29">
        <v>1</v>
      </c>
      <c r="D29" t="s">
        <v>173</v>
      </c>
      <c r="F29" t="s">
        <v>240</v>
      </c>
      <c r="G29">
        <v>169</v>
      </c>
      <c r="H29">
        <v>16968</v>
      </c>
      <c r="I29">
        <v>16968001</v>
      </c>
      <c r="J29" s="14">
        <v>40755712</v>
      </c>
    </row>
    <row r="30" spans="1:10" x14ac:dyDescent="0.25">
      <c r="A30">
        <v>16602002</v>
      </c>
      <c r="B30">
        <v>900057647</v>
      </c>
      <c r="C30">
        <v>1</v>
      </c>
      <c r="D30" t="s">
        <v>196</v>
      </c>
      <c r="E30" t="s">
        <v>197</v>
      </c>
      <c r="F30" t="s">
        <v>198</v>
      </c>
      <c r="G30">
        <v>169</v>
      </c>
      <c r="H30">
        <v>16976</v>
      </c>
      <c r="I30">
        <v>16976001</v>
      </c>
      <c r="J30" s="14">
        <v>24484307</v>
      </c>
    </row>
    <row r="31" spans="1:10" x14ac:dyDescent="0.25">
      <c r="A31">
        <v>16602002</v>
      </c>
      <c r="B31">
        <v>900062612</v>
      </c>
      <c r="C31">
        <v>1</v>
      </c>
      <c r="D31" t="s">
        <v>199</v>
      </c>
      <c r="E31" t="s">
        <v>200</v>
      </c>
      <c r="F31" t="s">
        <v>28</v>
      </c>
      <c r="G31">
        <v>169</v>
      </c>
      <c r="H31">
        <v>16952</v>
      </c>
      <c r="I31">
        <v>16952001</v>
      </c>
      <c r="J31" s="14">
        <v>4350098</v>
      </c>
    </row>
    <row r="32" spans="1:10" x14ac:dyDescent="0.25">
      <c r="A32">
        <v>16602002</v>
      </c>
      <c r="B32">
        <v>900959051</v>
      </c>
      <c r="C32">
        <v>1</v>
      </c>
      <c r="D32" t="s">
        <v>241</v>
      </c>
      <c r="F32" t="s">
        <v>242</v>
      </c>
      <c r="G32">
        <v>169</v>
      </c>
      <c r="H32">
        <v>16911</v>
      </c>
      <c r="I32">
        <v>16911001</v>
      </c>
      <c r="J32" s="14">
        <v>23447101</v>
      </c>
    </row>
    <row r="33" spans="1:10" x14ac:dyDescent="0.25">
      <c r="A33">
        <v>16602002</v>
      </c>
      <c r="B33">
        <v>900971006</v>
      </c>
      <c r="C33">
        <v>1</v>
      </c>
      <c r="D33" t="s">
        <v>243</v>
      </c>
      <c r="F33" t="s">
        <v>244</v>
      </c>
      <c r="G33">
        <v>169</v>
      </c>
      <c r="H33">
        <v>16911</v>
      </c>
      <c r="I33">
        <v>16911001</v>
      </c>
      <c r="J33" s="14">
        <v>3097387</v>
      </c>
    </row>
    <row r="34" spans="1:10" x14ac:dyDescent="0.25">
      <c r="A34">
        <v>16602002</v>
      </c>
      <c r="B34">
        <v>901021565</v>
      </c>
      <c r="C34">
        <v>1</v>
      </c>
      <c r="D34" t="s">
        <v>203</v>
      </c>
      <c r="E34" t="s">
        <v>200</v>
      </c>
      <c r="F34" t="s">
        <v>28</v>
      </c>
      <c r="G34">
        <v>169</v>
      </c>
      <c r="H34">
        <v>16952</v>
      </c>
      <c r="I34">
        <v>16952001</v>
      </c>
      <c r="J34" s="14">
        <v>17647839.02</v>
      </c>
    </row>
  </sheetData>
  <autoFilter ref="A1:J34">
    <sortState ref="A2:J34">
      <sortCondition ref="A2:A34"/>
    </sortState>
  </autoFilter>
  <conditionalFormatting sqref="B2:B34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FORMATO 1003</vt:lpstr>
      <vt:lpstr>FORMATO 1003 DIAN </vt:lpstr>
      <vt:lpstr>F 1005 IVA DESCONTABLE </vt:lpstr>
      <vt:lpstr>FORMATO 1006 IVA GENERADO</vt:lpstr>
      <vt:lpstr>FORMATO 1007 </vt:lpstr>
      <vt:lpstr>FORMATO 1008 </vt:lpstr>
      <vt:lpstr>FORMATO 1009 DIAN</vt:lpstr>
      <vt:lpstr>FORMATO 1012</vt:lpstr>
      <vt:lpstr>FORMATO 1011</vt:lpstr>
      <vt:lpstr>Hoja2</vt:lpstr>
      <vt:lpstr>1008 hoja trabajo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Mutual_017</dc:creator>
  <cp:lastModifiedBy>Willington Perez</cp:lastModifiedBy>
  <dcterms:created xsi:type="dcterms:W3CDTF">2025-05-12T22:26:30Z</dcterms:created>
  <dcterms:modified xsi:type="dcterms:W3CDTF">2026-10-08T15:46:05Z</dcterms:modified>
</cp:coreProperties>
</file>